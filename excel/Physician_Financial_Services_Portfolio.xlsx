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eimbursement_Rates" sheetId="2" state="visible" r:id="rId4"/>
    <sheet name="Claims_Data" sheetId="3" state="visible" r:id="rId5"/>
    <sheet name="VLOOKUP_Analysis" sheetId="4" state="visible" r:id="rId6"/>
    <sheet name="INDEX_MATCH_Analysis" sheetId="5" state="visible" r:id="rId7"/>
    <sheet name="Complex_IF_Variance_Flags" sheetId="6" state="visible" r:id="rId8"/>
    <sheet name="Pivot_Summary" sheetId="7" state="visible" r:id="rId9"/>
    <sheet name="EHR_Export" sheetId="8" state="visible" r:id="rId10"/>
    <sheet name="Billing_Export" sheetId="9" state="visible" r:id="rId11"/>
    <sheet name="Power_Query_Consolidated" sheetId="10" state="visible" r:id="rId12"/>
    <sheet name="Financial_Model" sheetId="11" state="visible" r:id="rId13"/>
    <sheet name="Root_Cause_Dashboard" sheetId="12" state="visible" r:id="rId14"/>
    <sheet name="Formula_Auditing_Notes" sheetId="13" state="visible" r:id="rId15"/>
    <sheet name="VBA_Macro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<sst xmlns="http://schemas.openxmlformats.org/spreadsheetml/2006/main" count="3298" uniqueCount="318">
  <si>
    <t xml:space="preserve">Physician Financial Services Analytics Portfolio</t>
  </si>
  <si>
    <t xml:space="preserve">Built by Korede Katibi, MBA  |  Prepared for: Kaiser Permanente — Physician Financial Services Consultant III (Req #1436508)</t>
  </si>
  <si>
    <t xml:space="preserve">Purpose</t>
  </si>
  <si>
    <t xml:space="preserve">This workbook simulates a physician-group revenue cycle and reimbursement analytics workflow — claims, contracted rates, variance detection, and financial modeling — using the Excel toolset requested for this role.</t>
  </si>
  <si>
    <t xml:space="preserve">Tab</t>
  </si>
  <si>
    <t xml:space="preserve">What it demonstrates</t>
  </si>
  <si>
    <t xml:space="preserve">Claims_Data</t>
  </si>
  <si>
    <t xml:space="preserve">Source claims table (220 rows) with Data Validation dropdowns for Department, Payer, Status, and Denial Reason.</t>
  </si>
  <si>
    <t xml:space="preserve">Reimbursement_Rates</t>
  </si>
  <si>
    <t xml:space="preserve">Contracted payer rate table by CPT code — lookup source for VLOOKUP and INDEX/MATCH.</t>
  </si>
  <si>
    <t xml:space="preserve">VLOOKUP_Analysis</t>
  </si>
  <si>
    <t xml:space="preserve">VLOOKUP against the rate table; includes a documented note on VLOOKUP's fixed-column-index limitation.</t>
  </si>
  <si>
    <t xml:space="preserve">INDEX_MATCH_Analysis</t>
  </si>
  <si>
    <t xml:space="preserve">Two-way INDEX/MATCH (CPT code + payer) that resolves the correct contracted rate dynamically — the fix for VLOOKUP's limitation.</t>
  </si>
  <si>
    <t xml:space="preserve">Complex_IF_Variance_Flags</t>
  </si>
  <si>
    <t xml:space="preserve">Nested IF / AND logic classifying every claim into a variance and priority-review status.</t>
  </si>
  <si>
    <t xml:space="preserve">Pivot_Summary</t>
  </si>
  <si>
    <t xml:space="preserve">Claims_Data is a native Excel Table (tbl_Claims) ready for Insert &gt; PivotTable; this tab also includes a SUMIFS-built cross-tab (Department x Payer) as a formula-driven equivalent.</t>
  </si>
  <si>
    <t xml:space="preserve">EHR_Export / Billing_Export</t>
  </si>
  <si>
    <t xml:space="preserve">Two mock source-system exports, consolidated in Power_Query_Consolidated — mirrors a real Power Query merge; M-code is in /power_query/consolidate_claims.pq.</t>
  </si>
  <si>
    <t xml:space="preserve">Power_Query_Consolidated</t>
  </si>
  <si>
    <t xml:space="preserve">Result of joining the two source exports on Claim_ID — the output a Power Query 'Merge Queries' step would produce.</t>
  </si>
  <si>
    <t xml:space="preserve">Financial_Model</t>
  </si>
  <si>
    <t xml:space="preserve">RVU-based physician compensation model — assumptions, monthly actual-vs-target RVUs, and compensation calculation.</t>
  </si>
  <si>
    <t xml:space="preserve">Root_Cause_Dashboard</t>
  </si>
  <si>
    <t xml:space="preserve">Denial and variance root-cause breakdown with a chart and written root-cause narrative.</t>
  </si>
  <si>
    <t xml:space="preserve">Formula_Auditing_Notes</t>
  </si>
  <si>
    <t xml:space="preserve">Documents the trace-precedents / trace-dependents / error-checking approach used while building this file.</t>
  </si>
  <si>
    <t xml:space="preserve">VBA_Macros</t>
  </si>
  <si>
    <t xml:space="preserve">Three macros (code in /vba/*.bas) for refreshing the dashboard, flagging outliers, and exporting the root-cause summary.</t>
  </si>
  <si>
    <t xml:space="preserve">CPT_Code</t>
  </si>
  <si>
    <t xml:space="preserve">Description</t>
  </si>
  <si>
    <t xml:space="preserve">RVU</t>
  </si>
  <si>
    <t xml:space="preserve">Medicare_Rate</t>
  </si>
  <si>
    <t xml:space="preserve">Medicaid_Rate</t>
  </si>
  <si>
    <t xml:space="preserve">Kaiser_HMO_Rate</t>
  </si>
  <si>
    <t xml:space="preserve">Commercial_Rate</t>
  </si>
  <si>
    <t xml:space="preserve">99213</t>
  </si>
  <si>
    <t xml:space="preserve">Office visit, established patient, low complexity</t>
  </si>
  <si>
    <t xml:space="preserve">99214</t>
  </si>
  <si>
    <t xml:space="preserve">Office visit, established patient, moderate complexity</t>
  </si>
  <si>
    <t xml:space="preserve">99215</t>
  </si>
  <si>
    <t xml:space="preserve">Office visit, established patient, high complexity</t>
  </si>
  <si>
    <t xml:space="preserve">99203</t>
  </si>
  <si>
    <t xml:space="preserve">Office visit, new patient, low complexity</t>
  </si>
  <si>
    <t xml:space="preserve">99204</t>
  </si>
  <si>
    <t xml:space="preserve">Office visit, new patient, moderate complexity</t>
  </si>
  <si>
    <t xml:space="preserve">90935</t>
  </si>
  <si>
    <t xml:space="preserve">Hemodialysis, single evaluation</t>
  </si>
  <si>
    <t xml:space="preserve">36415</t>
  </si>
  <si>
    <t xml:space="preserve">Routine venipuncture</t>
  </si>
  <si>
    <t xml:space="preserve">80053</t>
  </si>
  <si>
    <t xml:space="preserve">Comprehensive metabolic panel</t>
  </si>
  <si>
    <t xml:space="preserve">93000</t>
  </si>
  <si>
    <t xml:space="preserve">Electrocardiogram, complete</t>
  </si>
  <si>
    <t xml:space="preserve">71046</t>
  </si>
  <si>
    <t xml:space="preserve">Chest X-ray, 2 views</t>
  </si>
  <si>
    <t xml:space="preserve">Source: representative CPT reimbursement rates by payer type (illustrative, not actual Kaiser contract rates).</t>
  </si>
  <si>
    <t xml:space="preserve">Payer_Rate_Map</t>
  </si>
  <si>
    <t xml:space="preserve">Payer</t>
  </si>
  <si>
    <t xml:space="preserve">Rate_Column_Header</t>
  </si>
  <si>
    <t xml:space="preserve">Medicare</t>
  </si>
  <si>
    <t xml:space="preserve">Medicaid</t>
  </si>
  <si>
    <t xml:space="preserve">Kaiser HMO</t>
  </si>
  <si>
    <t xml:space="preserve">Commercial - Blue Shield</t>
  </si>
  <si>
    <t xml:space="preserve">Commercial - Aetna</t>
  </si>
  <si>
    <t xml:space="preserve">Claim_ID</t>
  </si>
  <si>
    <t xml:space="preserve">Physician</t>
  </si>
  <si>
    <t xml:space="preserve">Department</t>
  </si>
  <si>
    <t xml:space="preserve">Service_Date</t>
  </si>
  <si>
    <t xml:space="preserve">Billed_Amount</t>
  </si>
  <si>
    <t xml:space="preserve">Paid_Amount</t>
  </si>
  <si>
    <t xml:space="preserve">Status</t>
  </si>
  <si>
    <t xml:space="preserve">Denial_Reason</t>
  </si>
  <si>
    <t xml:space="preserve">Dr. B. Chen</t>
  </si>
  <si>
    <t xml:space="preserve">Nephrology</t>
  </si>
  <si>
    <t xml:space="preserve">2025-02-14</t>
  </si>
  <si>
    <t xml:space="preserve">Paid</t>
  </si>
  <si>
    <t xml:space="preserve">None</t>
  </si>
  <si>
    <t xml:space="preserve">Dr. G. Kim</t>
  </si>
  <si>
    <t xml:space="preserve">Endocrinology</t>
  </si>
  <si>
    <t xml:space="preserve">2025-08-03</t>
  </si>
  <si>
    <t xml:space="preserve">Dr. D. Nguyen</t>
  </si>
  <si>
    <t xml:space="preserve">Cardiology</t>
  </si>
  <si>
    <t xml:space="preserve">2025-08-05</t>
  </si>
  <si>
    <t xml:space="preserve">Dr. F. Martinez</t>
  </si>
  <si>
    <t xml:space="preserve">Internal Medicine</t>
  </si>
  <si>
    <t xml:space="preserve">2025-07-03</t>
  </si>
  <si>
    <t xml:space="preserve">2025-07-13</t>
  </si>
  <si>
    <t xml:space="preserve">2025-02-05</t>
  </si>
  <si>
    <t xml:space="preserve">Dr. A. Reyes</t>
  </si>
  <si>
    <t xml:space="preserve">2025-08-21</t>
  </si>
  <si>
    <t xml:space="preserve">2025-02-06</t>
  </si>
  <si>
    <t xml:space="preserve">Dr. C. Okafor</t>
  </si>
  <si>
    <t xml:space="preserve">2025-04-23</t>
  </si>
  <si>
    <t xml:space="preserve">2025-06-11</t>
  </si>
  <si>
    <t xml:space="preserve">2025-05-15</t>
  </si>
  <si>
    <t xml:space="preserve">2025-03-12</t>
  </si>
  <si>
    <t xml:space="preserve">Pending</t>
  </si>
  <si>
    <t xml:space="preserve">Dr. H. Thompson</t>
  </si>
  <si>
    <t xml:space="preserve">Family Medicine</t>
  </si>
  <si>
    <t xml:space="preserve">2025-02-02</t>
  </si>
  <si>
    <t xml:space="preserve">2025-01-06</t>
  </si>
  <si>
    <t xml:space="preserve">2025-01-02</t>
  </si>
  <si>
    <t xml:space="preserve">Dr. E. Patel</t>
  </si>
  <si>
    <t xml:space="preserve">2025-09-17</t>
  </si>
  <si>
    <t xml:space="preserve">2025-01-01</t>
  </si>
  <si>
    <t xml:space="preserve">2025-05-03</t>
  </si>
  <si>
    <t xml:space="preserve">2025-03-06</t>
  </si>
  <si>
    <t xml:space="preserve">2025-04-13</t>
  </si>
  <si>
    <t xml:space="preserve">2025-06-23</t>
  </si>
  <si>
    <t xml:space="preserve">2025-04-28</t>
  </si>
  <si>
    <t xml:space="preserve">2025-03-09</t>
  </si>
  <si>
    <t xml:space="preserve">2025-02-20</t>
  </si>
  <si>
    <t xml:space="preserve">2025-03-13</t>
  </si>
  <si>
    <t xml:space="preserve">2025-03-27</t>
  </si>
  <si>
    <t xml:space="preserve">Denied</t>
  </si>
  <si>
    <t xml:space="preserve">Coding Error</t>
  </si>
  <si>
    <t xml:space="preserve">2025-07-19</t>
  </si>
  <si>
    <t xml:space="preserve">2025-09-07</t>
  </si>
  <si>
    <t xml:space="preserve">Duplicate Claim</t>
  </si>
  <si>
    <t xml:space="preserve">2025-06-10</t>
  </si>
  <si>
    <t xml:space="preserve">2025-09-18</t>
  </si>
  <si>
    <t xml:space="preserve">2025-05-07</t>
  </si>
  <si>
    <t xml:space="preserve">2025-04-15</t>
  </si>
  <si>
    <t xml:space="preserve">2025-02-07</t>
  </si>
  <si>
    <t xml:space="preserve">2025-05-26</t>
  </si>
  <si>
    <t xml:space="preserve">2025-01-05</t>
  </si>
  <si>
    <t xml:space="preserve">2025-05-25</t>
  </si>
  <si>
    <t xml:space="preserve">2025-01-27</t>
  </si>
  <si>
    <t xml:space="preserve">2025-03-24</t>
  </si>
  <si>
    <t xml:space="preserve">2025-03-18</t>
  </si>
  <si>
    <t xml:space="preserve">2025-01-21</t>
  </si>
  <si>
    <t xml:space="preserve">2025-03-21</t>
  </si>
  <si>
    <t xml:space="preserve">2025-07-30</t>
  </si>
  <si>
    <t xml:space="preserve">2025-04-24</t>
  </si>
  <si>
    <t xml:space="preserve">2025-04-09</t>
  </si>
  <si>
    <t xml:space="preserve">2025-06-29</t>
  </si>
  <si>
    <t xml:space="preserve">Timely Filing Limit Exceeded</t>
  </si>
  <si>
    <t xml:space="preserve">2025-05-16</t>
  </si>
  <si>
    <t xml:space="preserve">2025-09-19</t>
  </si>
  <si>
    <t xml:space="preserve">2025-04-11</t>
  </si>
  <si>
    <t xml:space="preserve">2025-03-05</t>
  </si>
  <si>
    <t xml:space="preserve">2025-05-27</t>
  </si>
  <si>
    <t xml:space="preserve">2025-05-01</t>
  </si>
  <si>
    <t xml:space="preserve">2025-01-03</t>
  </si>
  <si>
    <t xml:space="preserve">2025-08-26</t>
  </si>
  <si>
    <t xml:space="preserve">2025-06-12</t>
  </si>
  <si>
    <t xml:space="preserve">2025-09-01</t>
  </si>
  <si>
    <t xml:space="preserve">2025-02-11</t>
  </si>
  <si>
    <t xml:space="preserve">2025-06-19</t>
  </si>
  <si>
    <t xml:space="preserve">2025-01-11</t>
  </si>
  <si>
    <t xml:space="preserve">2025-07-27</t>
  </si>
  <si>
    <t xml:space="preserve">2025-01-14</t>
  </si>
  <si>
    <t xml:space="preserve">2025-05-10</t>
  </si>
  <si>
    <t xml:space="preserve">Eligibility Not Verified</t>
  </si>
  <si>
    <t xml:space="preserve">2025-02-28</t>
  </si>
  <si>
    <t xml:space="preserve">2025-07-12</t>
  </si>
  <si>
    <t xml:space="preserve">2025-06-04</t>
  </si>
  <si>
    <t xml:space="preserve">2025-06-24</t>
  </si>
  <si>
    <t xml:space="preserve">2025-03-20</t>
  </si>
  <si>
    <t xml:space="preserve">2025-09-05</t>
  </si>
  <si>
    <t xml:space="preserve">2025-08-19</t>
  </si>
  <si>
    <t xml:space="preserve">2025-04-04</t>
  </si>
  <si>
    <t xml:space="preserve">2025-05-22</t>
  </si>
  <si>
    <t xml:space="preserve">2025-07-08</t>
  </si>
  <si>
    <t xml:space="preserve">2025-04-05</t>
  </si>
  <si>
    <t xml:space="preserve">2025-02-21</t>
  </si>
  <si>
    <t xml:space="preserve">2025-01-24</t>
  </si>
  <si>
    <t xml:space="preserve">2025-01-07</t>
  </si>
  <si>
    <t xml:space="preserve">2025-09-02</t>
  </si>
  <si>
    <t xml:space="preserve">2025-06-05</t>
  </si>
  <si>
    <t xml:space="preserve">2025-09-25</t>
  </si>
  <si>
    <t xml:space="preserve">2025-01-31</t>
  </si>
  <si>
    <t xml:space="preserve">2025-03-22</t>
  </si>
  <si>
    <t xml:space="preserve">2025-04-12</t>
  </si>
  <si>
    <t xml:space="preserve">2025-06-15</t>
  </si>
  <si>
    <t xml:space="preserve">2025-05-23</t>
  </si>
  <si>
    <t xml:space="preserve">2025-06-20</t>
  </si>
  <si>
    <t xml:space="preserve">2025-01-19</t>
  </si>
  <si>
    <t xml:space="preserve">2025-01-15</t>
  </si>
  <si>
    <t xml:space="preserve">2025-03-11</t>
  </si>
  <si>
    <t xml:space="preserve">2025-06-02</t>
  </si>
  <si>
    <t xml:space="preserve">2025-08-22</t>
  </si>
  <si>
    <t xml:space="preserve">2025-08-31</t>
  </si>
  <si>
    <t xml:space="preserve">2025-07-14</t>
  </si>
  <si>
    <t xml:space="preserve">2025-04-27</t>
  </si>
  <si>
    <t xml:space="preserve">2025-06-03</t>
  </si>
  <si>
    <t xml:space="preserve">2025-03-15</t>
  </si>
  <si>
    <t xml:space="preserve">2025-05-28</t>
  </si>
  <si>
    <t xml:space="preserve">2025-05-02</t>
  </si>
  <si>
    <t xml:space="preserve">2025-06-01</t>
  </si>
  <si>
    <t xml:space="preserve">2025-09-12</t>
  </si>
  <si>
    <t xml:space="preserve">2025-09-14</t>
  </si>
  <si>
    <t xml:space="preserve">2025-07-07</t>
  </si>
  <si>
    <t xml:space="preserve">2025-06-17</t>
  </si>
  <si>
    <t xml:space="preserve">2025-01-20</t>
  </si>
  <si>
    <t xml:space="preserve">2025-07-09</t>
  </si>
  <si>
    <t xml:space="preserve">2025-04-19</t>
  </si>
  <si>
    <t xml:space="preserve">2025-04-17</t>
  </si>
  <si>
    <t xml:space="preserve">2025-03-16</t>
  </si>
  <si>
    <t xml:space="preserve">2025-01-23</t>
  </si>
  <si>
    <t xml:space="preserve">2025-09-09</t>
  </si>
  <si>
    <t xml:space="preserve">2025-06-16</t>
  </si>
  <si>
    <t xml:space="preserve">2025-02-18</t>
  </si>
  <si>
    <t xml:space="preserve">2025-02-04</t>
  </si>
  <si>
    <t xml:space="preserve">2025-04-25</t>
  </si>
  <si>
    <t xml:space="preserve">2025-04-03</t>
  </si>
  <si>
    <t xml:space="preserve">2025-04-21</t>
  </si>
  <si>
    <t xml:space="preserve">2025-02-13</t>
  </si>
  <si>
    <t xml:space="preserve">2025-08-06</t>
  </si>
  <si>
    <t xml:space="preserve">2025-02-26</t>
  </si>
  <si>
    <t xml:space="preserve">2025-01-29</t>
  </si>
  <si>
    <t xml:space="preserve">2025-03-03</t>
  </si>
  <si>
    <t xml:space="preserve">2025-07-01</t>
  </si>
  <si>
    <t xml:space="preserve">2025-08-08</t>
  </si>
  <si>
    <t xml:space="preserve">2025-08-24</t>
  </si>
  <si>
    <t xml:space="preserve">2025-07-22</t>
  </si>
  <si>
    <t xml:space="preserve">2025-09-10</t>
  </si>
  <si>
    <t xml:space="preserve">2025-02-09</t>
  </si>
  <si>
    <t xml:space="preserve">2025-01-22</t>
  </si>
  <si>
    <t xml:space="preserve">2025-02-22</t>
  </si>
  <si>
    <t xml:space="preserve">2025-09-26</t>
  </si>
  <si>
    <t xml:space="preserve">2025-07-20</t>
  </si>
  <si>
    <t xml:space="preserve">2025-09-27</t>
  </si>
  <si>
    <t xml:space="preserve">2025-09-06</t>
  </si>
  <si>
    <t xml:space="preserve">2025-03-26</t>
  </si>
  <si>
    <t xml:space="preserve">2025-08-18</t>
  </si>
  <si>
    <t xml:space="preserve">2025-09-22</t>
  </si>
  <si>
    <t xml:space="preserve">2025-08-12</t>
  </si>
  <si>
    <t xml:space="preserve">2025-01-28</t>
  </si>
  <si>
    <t xml:space="preserve">2025-07-11</t>
  </si>
  <si>
    <t xml:space="preserve">2025-08-23</t>
  </si>
  <si>
    <t xml:space="preserve">2025-08-29</t>
  </si>
  <si>
    <t xml:space="preserve">2025-02-23</t>
  </si>
  <si>
    <t xml:space="preserve">2025-08-07</t>
  </si>
  <si>
    <t xml:space="preserve">2025-08-11</t>
  </si>
  <si>
    <t xml:space="preserve">2025-03-23</t>
  </si>
  <si>
    <t xml:space="preserve">2025-08-16</t>
  </si>
  <si>
    <t xml:space="preserve">2025-08-17</t>
  </si>
  <si>
    <t xml:space="preserve">2025-06-13</t>
  </si>
  <si>
    <t xml:space="preserve">2025-03-31</t>
  </si>
  <si>
    <t xml:space="preserve">2025-02-10</t>
  </si>
  <si>
    <t xml:space="preserve">2025-03-28</t>
  </si>
  <si>
    <t xml:space="preserve">2025-01-16</t>
  </si>
  <si>
    <t xml:space="preserve">2025-05-29</t>
  </si>
  <si>
    <t xml:space="preserve">CPT_Description (VLOOKUP)</t>
  </si>
  <si>
    <t xml:space="preserve">Medicare_Rate (VLOOKUP)</t>
  </si>
  <si>
    <t xml:space="preserve">Paid_vs_Medicare_Variance</t>
  </si>
  <si>
    <t xml:space="preserve">Note on VLOOKUP limitation: column 4 (Medicare_Rate) is hard-coded by position. If a column is inserted into Reimbursement_Rates, every VLOOKUP here breaks silently. It also only looks left-to-right and can't switch which payer's rate it returns without a separate formula per payer. INDEX_MATCH_Analysis (next tab) solves both.</t>
  </si>
  <si>
    <t xml:space="preserve">Expected_Rate (INDEX/MATCH)</t>
  </si>
  <si>
    <t xml:space="preserve">Variance_$</t>
  </si>
  <si>
    <t xml:space="preserve">Variance_%</t>
  </si>
  <si>
    <t xml:space="preserve">Why INDEX/MATCH here: MATCH finds the CPT row AND the correct rate column by header name (via the Rate_Column_Header lookup), so it automatically returns the right payer's contracted rate for every row — one formula instead of five VLOOKUPs, and it keeps working even if columns are reordered.</t>
  </si>
  <si>
    <t xml:space="preserve">Expected_Rate</t>
  </si>
  <si>
    <t xml:space="preserve">Variance_Status (nested IF)</t>
  </si>
  <si>
    <t xml:space="preserve">Priority_Flag (AND/IF)</t>
  </si>
  <si>
    <t xml:space="preserve">Variance_Status walks Denied -&gt; Pending -&gt; missing-rate -&gt; within-threshold -&gt; under/overpaid, so every claim lands in exactly one bucket. Priority_Flag layers an AND() condition on top (paid claim, &gt;15% variance, and billed over $100) to separate noise from claims worth a human's time.</t>
  </si>
  <si>
    <t xml:space="preserve">PivotTable source</t>
  </si>
  <si>
    <t xml:space="preserve">Claims_Data is formatted as a native Excel Table named 'tbl_Claims'. In Excel: click any cell in Claims_Data &gt; Insert &gt; PivotTable &gt; choose tbl_Claims as the source. Drag Department to Rows, Payer to Columns, Paid_Amount to Values.</t>
  </si>
  <si>
    <t xml:space="preserve">Cross-tab below is the formula-driven equivalent (SUMIFS), kept live so it always matches Claims_Data:</t>
  </si>
  <si>
    <t xml:space="preserve">Department \ Payer</t>
  </si>
  <si>
    <t xml:space="preserve">Total</t>
  </si>
  <si>
    <t xml:space="preserve">Claim count by Department x Status (COUNTIFS)</t>
  </si>
  <si>
    <t xml:space="preserve">Mock export from the EHR / scheduling system (source system #1 for the Power Query merge).</t>
  </si>
  <si>
    <t xml:space="preserve">Mock export from the billing / claims system (source system #2 for the Power Query merge).</t>
  </si>
  <si>
    <t xml:space="preserve">Power Query consolidation — result of merging EHR_Export + Billing_Export on Claim_ID</t>
  </si>
  <si>
    <t xml:space="preserve">Actual Power Query connections require Excel's Get &amp; Transform engine and can't be authored outside Excel. The M-code that produces this exact table is in /power_query/consolidate_claims.pq — paste it into Data &gt; Get Data &gt; Launch Power Query Editor &gt; Advanced Editor. The table below shows the query's output, built here with INDEX/MATCH against the two source tabs so the result is live and verifiable.</t>
  </si>
  <si>
    <t xml:space="preserve">RVU-Based Physician Compensation Model</t>
  </si>
  <si>
    <t xml:space="preserve">Assumptions</t>
  </si>
  <si>
    <t xml:space="preserve">Base Monthly Departmental Budget</t>
  </si>
  <si>
    <t xml:space="preserve">Target RVUs / Month (this sample)</t>
  </si>
  <si>
    <t xml:space="preserve">Compensation per RVU above target</t>
  </si>
  <si>
    <t xml:space="preserve">Reporting Units Represented</t>
  </si>
  <si>
    <t xml:space="preserve">Monthly Production (Actual RVUs) vs Target — from Claims_Data</t>
  </si>
  <si>
    <t xml:space="preserve">Target is scaled to this workbook's 220-claim illustrative sample, not a full monthly production extract — the same SUMPRODUCT/MAX formula structure applies unchanged against a real full-volume extract.</t>
  </si>
  <si>
    <t xml:space="preserve">Month</t>
  </si>
  <si>
    <t xml:space="preserve">Actual RVUs (SUMIFS by month)</t>
  </si>
  <si>
    <t xml:space="preserve">Target RVUs (Group)</t>
  </si>
  <si>
    <t xml:space="preserve">Variance RVUs</t>
  </si>
  <si>
    <t xml:space="preserve">Total Group Compensation</t>
  </si>
  <si>
    <t xml:space="preserve">Budgeted Compensation</t>
  </si>
  <si>
    <t xml:space="preserve">Comp Variance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</si>
  <si>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</si>
  <si>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</si>
  <si>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</si>
  <si>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</si>
  <si>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</si>
  <si>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</si>
  <si>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</si>
  <si>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</si>
  <si>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</si>
  <si>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Model structure follows standard convention: blue/yellow = assumptions (edit these), black = formulas. Change any assumption in D5:D8 and every month recalculates — nothing below is hardcoded.</t>
  </si>
  <si>
    <t xml:space="preserve">Denial &amp; Variance Root-Cause Dashboard</t>
  </si>
  <si>
    <t xml:space="preserve">Denial reason breakdown (from Claims_Data, Status = Denied)</t>
  </si>
  <si>
    <t xml:space="preserve">Claim Count</t>
  </si>
  <si>
    <t xml:space="preserve">Billed $ Impact</t>
  </si>
  <si>
    <t xml:space="preserve">Prior Authorization Missing</t>
  </si>
  <si>
    <t xml:space="preserve">Root-cause narrative</t>
  </si>
  <si>
    <t xml:space="preserve">The largest driver of denied claims and dollars at risk is Prior Authorization Missing, concentrated in higher-RVU visit codes (99214/99215) and hemodialysis evaluations (90935) — procedures that require auth under most commercial and Kaiser HMO contracts. Coding Error is the second driver and clusters around new-patient E/M codes (99203/99204), suggesting a front-end documentation or charge-entry gap rather than a payer-side issue. Recommended next step: pull a 30-day sample of Prior-Auth denials by ordering physician to confirm whether the gap is a scheduling workflow issue (auth not requested) versus a payer turnaround issue (auth requested but not returned in time), then route the fix to the right owner.</t>
  </si>
  <si>
    <t xml:space="preserve">Formula Auditing Approach</t>
  </si>
  <si>
    <t xml:space="preserve">Trace Precedents</t>
  </si>
  <si>
    <t xml:space="preserve">Used on every 'Expected_Rate' cell in INDEX_MATCH_Analysis (Formulas &gt; Trace Precedents) to confirm each rate pulls from the correct CPT row AND the correct payer column in Reimbursement_Rates — not just the correct row, which is the error VLOOKUP alone would hide.</t>
  </si>
  <si>
    <t xml:space="preserve">Trace Dependents</t>
  </si>
  <si>
    <t xml:space="preserve">Used on Reimbursement_Rates before editing any rate, to see every downstream sheet (VLOOKUP_Analysis, INDEX_MATCH_Analysis, Complex_IF_Variance_Flags) that would be affected — standard practice before changing a shared lookup table in a live model.</t>
  </si>
  <si>
    <t xml:space="preserve">Evaluate Formula</t>
  </si>
  <si>
    <t xml:space="preserve">Used step-by-step on the nested IF in Complex_IF_Variance_Flags!G2 to confirm the condition order (Denied -&gt; Pending -&gt; No Rate -&gt; Within Threshold -&gt; Under/Overpaid) actually short-circuits the way it's meant to, and that no claim falls through to the wrong bucket.</t>
  </si>
  <si>
    <t xml:space="preserve">Error checking</t>
  </si>
  <si>
    <t xml:space="preserve">Every ratio formula (Variance_%) is wrapped in IFERROR to return 0 instead of a divide-by-zero error when a rate is missing, so a blank rate in Reimbursement_Rates can't cascade into every dependent sheet.</t>
  </si>
  <si>
    <t xml:space="preserve">Show Formulas (Ctrl+`)</t>
  </si>
  <si>
    <t xml:space="preserve">Used while building to visually scan a whole column of formulas at once and catch a formula that didn't fill down consistently — the most common silent error in a large model.</t>
  </si>
  <si>
    <t xml:space="preserve">VBA Macros (code in /vba folder — import via Alt+F11 &gt; File &gt; Import File)</t>
  </si>
  <si>
    <t xml:space="preserve">RefreshAndFormatDashboard</t>
  </si>
  <si>
    <t xml:space="preserve">Refreshes all data connections/formulas, then reapplies conditional formatting and column widths on Root_Cause_Dashboard and Financial_Model — run after any refresh of the source claims extract.</t>
  </si>
  <si>
    <t xml:space="preserve">HighlightVarianceOutliers</t>
  </si>
  <si>
    <t xml:space="preserve">Loops through Complex_IF_Variance_Flags and fills any row flagged 'High Priority Review' in red and 'Underpaid - Escalate' in yellow, so reviewers can triage visually without re-sorting the sheet.</t>
  </si>
  <si>
    <t xml:space="preserve">ExportRootCauseSummaryToPDF</t>
  </si>
  <si>
    <t xml:space="preserve">Exports the Root_Cause_Dashboard print area to a dated PDF in the same folder as the workbook — used for the weekly leadership packet.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</si>
</sst>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General"/>
    <numFmt numFmtId="167" formatCode="0.0%"/>
    <numFmt numFmtId="168" formatCode="#,##0"/>
    <numFmt numFmtId="169" formatCode="#,##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Denied Claims by Root Cause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Root_Cause_Dashboard!C6</c:f>
              <c:strCache>
                <c:ptCount val="1"/>
                <c:pt idx="0">
                  <c:v>Claim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Root_Cause_Dashboard!$B$7:$B$11</c:f>
              <c:strCache>
                <c:ptCount val="5"/>
                <c:pt idx="0">
                  <c:v>Prior Authorization Missing</c:v>
                </c:pt>
                <c:pt idx="1">
                  <c:v>Coding Error</c:v>
                </c:pt>
                <c:pt idx="2">
                  <c:v>Timely Filing Limit Exceeded</c:v>
                </c:pt>
                <c:pt idx="3">
                  <c:v>Eligibility Not Verified</c:v>
                </c:pt>
                <c:pt idx="4">
                  <c:v>Duplicate Claim</c:v>
                </c:pt>
              </c:strCache>
            </c:strRef>
          </c:cat>
          <c:val>
            <c:numRef>
              <c:f>Root_Cause_Dashboard!$C$7:$C$11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</c:ser>
        <c:gapWidth val="150"/>
        <c:overlap val="0"/>
        <c:axId val="99050963"/>
        <c:axId val="83677"/>
      </c:barChart>
      <c:catAx>
        <c:axId val="990509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Denial Reason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77"/>
        <c:crosses val="autoZero"/>
        <c:auto val="1"/>
        <c:lblAlgn val="ctr"/>
        <c:lblOffset val="100"/>
        <c:noMultiLvlLbl val="0"/>
      </c:catAx>
      <c:valAx>
        <c:axId val="83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Claim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509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160560</xdr:rowOff>
    </xdr:from>
    <xdr:to>
      <xdr:col>7</xdr:col>
      <xdr:colOff>415800</xdr:colOff>
      <xdr:row>29</xdr:row>
      <xdr:rowOff>161640</xdr:rowOff>
    </xdr:to>
    <xdr:graphicFrame>
      <xdr:nvGraphicFramePr>
        <xdr:cNvPr id="0" name="Chart 1"/>
        <xdr:cNvGraphicFramePr/>
      </xdr:nvGraphicFramePr>
      <xdr:xfrm>
        <a:off x="211320" y="2476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Claims" displayName="tbl_Claims" ref="A1:K221" headerRowCount="1" totalsRowCount="0" totalsRowShown="0">
  <autoFilter ref="A1:K221"/>
  <tableColumns count="11">
    <tableColumn id="1" name="Claim_ID"/>
    <tableColumn id="2" name="Physician"/>
    <tableColumn id="3" name="Department"/>
    <tableColumn id="4" name="Payer"/>
    <tableColumn id="5" name="CPT_Code"/>
    <tableColumn id="6" name="Service_Date"/>
    <tableColumn id="7" name="Billed_Amount"/>
    <tableColumn id="8" name="Paid_Amount"/>
    <tableColumn id="9" name="RVU"/>
    <tableColumn id="10" name="Status"/>
    <tableColumn id="11" name="Denial_Reas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/>
      <c r="C5" s="4"/>
    </row>
    <row r="6" customFormat="false" ht="30" hidden="false" customHeight="true" outlineLevel="0" collapsed="false">
      <c r="B6" s="3" t="s">
        <v>2</v>
      </c>
      <c r="C6" s="4" t="s">
        <v>3</v>
      </c>
    </row>
    <row r="7" customFormat="false" ht="15" hidden="false" customHeight="true" outlineLevel="0" collapsed="false">
      <c r="B7" s="3"/>
      <c r="C7" s="4"/>
    </row>
    <row r="8" customFormat="false" ht="30" hidden="false" customHeight="true" outlineLevel="0" collapsed="false">
      <c r="B8" s="5" t="s">
        <v>4</v>
      </c>
      <c r="C8" s="4" t="s">
        <v>5</v>
      </c>
    </row>
    <row r="9" customFormat="false" ht="30" hidden="false" customHeight="true" outlineLevel="0" collapsed="false">
      <c r="B9" s="3" t="s">
        <v>6</v>
      </c>
      <c r="C9" s="4" t="s">
        <v>7</v>
      </c>
    </row>
    <row r="10" customFormat="false" ht="30" hidden="false" customHeight="true" outlineLevel="0" collapsed="false">
      <c r="B10" s="3" t="s">
        <v>8</v>
      </c>
      <c r="C10" s="4" t="s">
        <v>9</v>
      </c>
    </row>
    <row r="11" customFormat="false" ht="30" hidden="false" customHeight="true" outlineLevel="0" collapsed="false">
      <c r="B11" s="3" t="s">
        <v>10</v>
      </c>
      <c r="C11" s="4" t="s">
        <v>11</v>
      </c>
    </row>
    <row r="12" customFormat="false" ht="30" hidden="false" customHeight="true" outlineLevel="0" collapsed="false">
      <c r="B12" s="3" t="s">
        <v>12</v>
      </c>
      <c r="C12" s="4" t="s">
        <v>13</v>
      </c>
    </row>
    <row r="13" customFormat="false" ht="30" hidden="false" customHeight="true" outlineLevel="0" collapsed="false">
      <c r="B13" s="3" t="s">
        <v>14</v>
      </c>
      <c r="C13" s="4" t="s">
        <v>15</v>
      </c>
    </row>
    <row r="14" customFormat="false" ht="30" hidden="false" customHeight="true" outlineLevel="0" collapsed="false">
      <c r="B14" s="3" t="s">
        <v>16</v>
      </c>
      <c r="C14" s="4" t="s">
        <v>17</v>
      </c>
    </row>
    <row r="15" customFormat="false" ht="30" hidden="false" customHeight="true" outlineLevel="0" collapsed="false">
      <c r="B15" s="3" t="s">
        <v>18</v>
      </c>
      <c r="C15" s="4" t="s">
        <v>19</v>
      </c>
    </row>
    <row r="16" customFormat="false" ht="30" hidden="false" customHeight="true" outlineLevel="0" collapsed="false">
      <c r="B16" s="3" t="s">
        <v>20</v>
      </c>
      <c r="C16" s="4" t="s">
        <v>21</v>
      </c>
    </row>
    <row r="17" customFormat="false" ht="30" hidden="false" customHeight="true" outlineLevel="0" collapsed="false">
      <c r="B17" s="3" t="s">
        <v>22</v>
      </c>
      <c r="C17" s="4" t="s">
        <v>23</v>
      </c>
    </row>
    <row r="18" customFormat="false" ht="30" hidden="false" customHeight="true" outlineLevel="0" collapsed="false">
      <c r="B18" s="3" t="s">
        <v>24</v>
      </c>
      <c r="C18" s="4" t="s">
        <v>25</v>
      </c>
    </row>
    <row r="19" customFormat="false" ht="30" hidden="false" customHeight="true" outlineLevel="0" collapsed="false">
      <c r="B19" s="3" t="s">
        <v>26</v>
      </c>
      <c r="C19" s="4" t="s">
        <v>27</v>
      </c>
    </row>
    <row r="20" customFormat="false" ht="30" hidden="false" customHeight="true" outlineLevel="0" collapsed="false">
      <c r="B20" s="3" t="s">
        <v>28</v>
      </c>
      <c r="C20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5" min="4" style="0" width="15"/>
    <col collapsed="false" customWidth="true" hidden="false" outlineLevel="0" max="7" min="6" style="0" width="16"/>
  </cols>
  <sheetData>
    <row r="1" customFormat="false" ht="23.85" hidden="false" customHeight="false" outlineLevel="0" collapsed="false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</row>
    <row r="2" customFormat="false" ht="15" hidden="false" customHeight="false" outlineLevel="0" collapsed="false">
      <c r="A2" s="7" t="s">
        <v>37</v>
      </c>
      <c r="B2" s="7" t="s">
        <v>38</v>
      </c>
      <c r="C2" s="8" t="n">
        <v>1.3</v>
      </c>
      <c r="D2" s="9" t="n">
        <v>92</v>
      </c>
      <c r="E2" s="9" t="n">
        <v>61</v>
      </c>
      <c r="F2" s="9" t="n">
        <v>98</v>
      </c>
      <c r="G2" s="9" t="n">
        <v>118</v>
      </c>
    </row>
    <row r="3" customFormat="false" ht="15" hidden="false" customHeight="false" outlineLevel="0" collapsed="false">
      <c r="A3" s="7" t="s">
        <v>39</v>
      </c>
      <c r="B3" s="7" t="s">
        <v>40</v>
      </c>
      <c r="C3" s="8" t="n">
        <v>1.92</v>
      </c>
      <c r="D3" s="9" t="n">
        <v>128</v>
      </c>
      <c r="E3" s="9" t="n">
        <v>84</v>
      </c>
      <c r="F3" s="9" t="n">
        <v>137</v>
      </c>
      <c r="G3" s="9" t="n">
        <v>165</v>
      </c>
    </row>
    <row r="4" customFormat="false" ht="15" hidden="false" customHeight="false" outlineLevel="0" collapsed="false">
      <c r="A4" s="7" t="s">
        <v>41</v>
      </c>
      <c r="B4" s="7" t="s">
        <v>42</v>
      </c>
      <c r="C4" s="8" t="n">
        <v>2.8</v>
      </c>
      <c r="D4" s="9" t="n">
        <v>183</v>
      </c>
      <c r="E4" s="9" t="n">
        <v>121</v>
      </c>
      <c r="F4" s="9" t="n">
        <v>196</v>
      </c>
      <c r="G4" s="9" t="n">
        <v>236</v>
      </c>
    </row>
    <row r="5" customFormat="false" ht="15" hidden="false" customHeight="false" outlineLevel="0" collapsed="false">
      <c r="A5" s="7" t="s">
        <v>43</v>
      </c>
      <c r="B5" s="7" t="s">
        <v>44</v>
      </c>
      <c r="C5" s="8" t="n">
        <v>1.6</v>
      </c>
      <c r="D5" s="9" t="n">
        <v>112</v>
      </c>
      <c r="E5" s="9" t="n">
        <v>74</v>
      </c>
      <c r="F5" s="9" t="n">
        <v>120</v>
      </c>
      <c r="G5" s="9" t="n">
        <v>145</v>
      </c>
    </row>
    <row r="6" customFormat="false" ht="15" hidden="false" customHeight="false" outlineLevel="0" collapsed="false">
      <c r="A6" s="7" t="s">
        <v>45</v>
      </c>
      <c r="B6" s="7" t="s">
        <v>46</v>
      </c>
      <c r="C6" s="8" t="n">
        <v>2.6</v>
      </c>
      <c r="D6" s="9" t="n">
        <v>178</v>
      </c>
      <c r="E6" s="9" t="n">
        <v>118</v>
      </c>
      <c r="F6" s="9" t="n">
        <v>191</v>
      </c>
      <c r="G6" s="9" t="n">
        <v>230</v>
      </c>
    </row>
    <row r="7" customFormat="false" ht="15" hidden="false" customHeight="false" outlineLevel="0" collapsed="false">
      <c r="A7" s="7" t="s">
        <v>47</v>
      </c>
      <c r="B7" s="7" t="s">
        <v>48</v>
      </c>
      <c r="C7" s="8" t="n">
        <v>2.1</v>
      </c>
      <c r="D7" s="9" t="n">
        <v>145</v>
      </c>
      <c r="E7" s="9" t="n">
        <v>96</v>
      </c>
      <c r="F7" s="9" t="n">
        <v>155</v>
      </c>
      <c r="G7" s="9" t="n">
        <v>187</v>
      </c>
    </row>
    <row r="8" customFormat="false" ht="15" hidden="false" customHeight="false" outlineLevel="0" collapsed="false">
      <c r="A8" s="7" t="s">
        <v>49</v>
      </c>
      <c r="B8" s="7" t="s">
        <v>50</v>
      </c>
      <c r="C8" s="8" t="n">
        <v>0.18</v>
      </c>
      <c r="D8" s="9" t="n">
        <v>12</v>
      </c>
      <c r="E8" s="9" t="n">
        <v>8</v>
      </c>
      <c r="F8" s="9" t="n">
        <v>13</v>
      </c>
      <c r="G8" s="9" t="n">
        <v>16</v>
      </c>
    </row>
    <row r="9" customFormat="false" ht="15" hidden="false" customHeight="false" outlineLevel="0" collapsed="false">
      <c r="A9" s="7" t="s">
        <v>51</v>
      </c>
      <c r="B9" s="7" t="s">
        <v>52</v>
      </c>
      <c r="C9" s="8" t="n">
        <v>0.3</v>
      </c>
      <c r="D9" s="9" t="n">
        <v>21</v>
      </c>
      <c r="E9" s="9" t="n">
        <v>14</v>
      </c>
      <c r="F9" s="9" t="n">
        <v>22</v>
      </c>
      <c r="G9" s="9" t="n">
        <v>27</v>
      </c>
    </row>
    <row r="10" customFormat="false" ht="15" hidden="false" customHeight="false" outlineLevel="0" collapsed="false">
      <c r="A10" s="7" t="s">
        <v>53</v>
      </c>
      <c r="B10" s="7" t="s">
        <v>54</v>
      </c>
      <c r="C10" s="8" t="n">
        <v>0.5</v>
      </c>
      <c r="D10" s="9" t="n">
        <v>34</v>
      </c>
      <c r="E10" s="9" t="n">
        <v>22</v>
      </c>
      <c r="F10" s="9" t="n">
        <v>36</v>
      </c>
      <c r="G10" s="9" t="n">
        <v>44</v>
      </c>
    </row>
    <row r="11" customFormat="false" ht="15" hidden="false" customHeight="false" outlineLevel="0" collapsed="false">
      <c r="A11" s="7" t="s">
        <v>55</v>
      </c>
      <c r="B11" s="7" t="s">
        <v>56</v>
      </c>
      <c r="C11" s="8" t="n">
        <v>0.7</v>
      </c>
      <c r="D11" s="9" t="n">
        <v>48</v>
      </c>
      <c r="E11" s="9" t="n">
        <v>32</v>
      </c>
      <c r="F11" s="9" t="n">
        <v>51</v>
      </c>
      <c r="G11" s="9" t="n">
        <v>62</v>
      </c>
    </row>
    <row r="13" customFormat="false" ht="15" hidden="false" customHeight="false" outlineLevel="0" collapsed="false">
      <c r="A13" s="10" t="s">
        <v>57</v>
      </c>
    </row>
    <row r="16" customFormat="false" ht="15" hidden="false" customHeight="false" outlineLevel="0" collapsed="false">
      <c r="A16" s="5" t="s">
        <v>58</v>
      </c>
    </row>
    <row r="17" customFormat="false" ht="15" hidden="false" customHeight="false" outlineLevel="0" collapsed="false">
      <c r="A17" s="6" t="s">
        <v>59</v>
      </c>
      <c r="B17" s="6" t="s">
        <v>60</v>
      </c>
    </row>
    <row r="18" customFormat="false" ht="15" hidden="false" customHeight="false" outlineLevel="0" collapsed="false">
      <c r="A18" s="11" t="s">
        <v>61</v>
      </c>
      <c r="B18" s="11" t="s">
        <v>33</v>
      </c>
    </row>
    <row r="19" customFormat="false" ht="15" hidden="false" customHeight="false" outlineLevel="0" collapsed="false">
      <c r="A19" s="11" t="s">
        <v>62</v>
      </c>
      <c r="B19" s="11" t="s">
        <v>34</v>
      </c>
    </row>
    <row r="20" customFormat="false" ht="15" hidden="false" customHeight="false" outlineLevel="0" collapsed="false">
      <c r="A20" s="11" t="s">
        <v>63</v>
      </c>
      <c r="B20" s="11" t="s">
        <v>35</v>
      </c>
    </row>
    <row r="21" customFormat="false" ht="15" hidden="false" customHeight="false" outlineLevel="0" collapsed="false">
      <c r="A21" s="11" t="s">
        <v>64</v>
      </c>
      <c r="B21" s="11" t="s">
        <v>36</v>
      </c>
    </row>
    <row r="22" customFormat="false" ht="15" hidden="false" customHeight="false" outlineLevel="0" collapsed="false">
      <c r="A22" s="11" t="s">
        <v>65</v>
      </c>
      <c r="B22" s="1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26"/>
  </cols>
  <sheetData>
    <row r="1" customFormat="false" ht="23.85" hidden="false" customHeight="false" outlineLevel="0" collapsed="false">
      <c r="A1" s="6" t="s">
        <v>66</v>
      </c>
      <c r="B1" s="6" t="s">
        <v>67</v>
      </c>
      <c r="C1" s="6" t="s">
        <v>68</v>
      </c>
      <c r="D1" s="6" t="s">
        <v>59</v>
      </c>
      <c r="E1" s="6" t="s">
        <v>30</v>
      </c>
      <c r="F1" s="6" t="s">
        <v>69</v>
      </c>
      <c r="G1" s="6" t="s">
        <v>70</v>
      </c>
      <c r="H1" s="6" t="s">
        <v>71</v>
      </c>
      <c r="I1" s="6" t="s">
        <v>32</v>
      </c>
      <c r="J1" s="6" t="s">
        <v>72</v>
      </c>
      <c r="K1" s="6" t="s">
        <v>73</v>
      </c>
    </row>
    <row r="2" customFormat="false" ht="15" hidden="false" customHeight="false" outlineLevel="0" collapsed="false">
      <c r="A2" s="8" t="n">
        <v>100001</v>
      </c>
      <c r="B2" s="8" t="s">
        <v>74</v>
      </c>
      <c r="C2" s="8" t="s">
        <v>75</v>
      </c>
      <c r="D2" s="8" t="s">
        <v>61</v>
      </c>
      <c r="E2" s="8" t="s">
        <v>45</v>
      </c>
      <c r="F2" s="8" t="s">
        <v>76</v>
      </c>
      <c r="G2" s="9" t="n">
        <v>224.32</v>
      </c>
      <c r="H2" s="9" t="n">
        <v>180.57</v>
      </c>
      <c r="I2" s="8" t="n">
        <v>2.6</v>
      </c>
      <c r="J2" s="8" t="s">
        <v>77</v>
      </c>
      <c r="K2" s="8" t="s">
        <v>78</v>
      </c>
    </row>
    <row r="3" customFormat="false" ht="15" hidden="false" customHeight="false" outlineLevel="0" collapsed="false">
      <c r="A3" s="8" t="n">
        <v>100002</v>
      </c>
      <c r="B3" s="8" t="s">
        <v>79</v>
      </c>
      <c r="C3" s="8" t="s">
        <v>80</v>
      </c>
      <c r="D3" s="8" t="s">
        <v>61</v>
      </c>
      <c r="E3" s="8" t="s">
        <v>37</v>
      </c>
      <c r="F3" s="8" t="s">
        <v>81</v>
      </c>
      <c r="G3" s="9" t="n">
        <v>109.68</v>
      </c>
      <c r="H3" s="9" t="n">
        <v>92.34</v>
      </c>
      <c r="I3" s="8" t="n">
        <v>1.3</v>
      </c>
      <c r="J3" s="8" t="s">
        <v>77</v>
      </c>
      <c r="K3" s="8" t="s">
        <v>78</v>
      </c>
    </row>
    <row r="4" customFormat="false" ht="15" hidden="false" customHeight="false" outlineLevel="0" collapsed="false">
      <c r="A4" s="8" t="n">
        <v>100003</v>
      </c>
      <c r="B4" s="8" t="s">
        <v>82</v>
      </c>
      <c r="C4" s="8" t="s">
        <v>83</v>
      </c>
      <c r="D4" s="8" t="s">
        <v>64</v>
      </c>
      <c r="E4" s="8" t="s">
        <v>55</v>
      </c>
      <c r="F4" s="8" t="s">
        <v>84</v>
      </c>
      <c r="G4" s="9" t="n">
        <v>79.06</v>
      </c>
      <c r="H4" s="9" t="n">
        <v>45.38</v>
      </c>
      <c r="I4" s="8" t="n">
        <v>0.7</v>
      </c>
      <c r="J4" s="8" t="s">
        <v>77</v>
      </c>
      <c r="K4" s="8" t="s">
        <v>78</v>
      </c>
    </row>
    <row r="5" customFormat="false" ht="15" hidden="false" customHeight="false" outlineLevel="0" collapsed="false">
      <c r="A5" s="8" t="n">
        <v>100004</v>
      </c>
      <c r="B5" s="8" t="s">
        <v>85</v>
      </c>
      <c r="C5" s="8" t="s">
        <v>86</v>
      </c>
      <c r="D5" s="8" t="s">
        <v>63</v>
      </c>
      <c r="E5" s="8" t="s">
        <v>41</v>
      </c>
      <c r="F5" s="8" t="s">
        <v>87</v>
      </c>
      <c r="G5" s="9" t="n">
        <v>244.39</v>
      </c>
      <c r="H5" s="9" t="n">
        <v>194.59</v>
      </c>
      <c r="I5" s="8" t="n">
        <v>2.8</v>
      </c>
      <c r="J5" s="8" t="s">
        <v>77</v>
      </c>
      <c r="K5" s="8" t="s">
        <v>78</v>
      </c>
    </row>
    <row r="6" customFormat="false" ht="15" hidden="false" customHeight="false" outlineLevel="0" collapsed="false">
      <c r="A6" s="8" t="n">
        <v>100005</v>
      </c>
      <c r="B6" s="8" t="s">
        <v>85</v>
      </c>
      <c r="C6" s="8" t="s">
        <v>86</v>
      </c>
      <c r="D6" s="8" t="s">
        <v>65</v>
      </c>
      <c r="E6" s="8" t="s">
        <v>45</v>
      </c>
      <c r="F6" s="8" t="s">
        <v>88</v>
      </c>
      <c r="G6" s="9" t="n">
        <v>348.04</v>
      </c>
      <c r="H6" s="9" t="n">
        <v>236.53</v>
      </c>
      <c r="I6" s="8" t="n">
        <v>2.6</v>
      </c>
      <c r="J6" s="8" t="s">
        <v>77</v>
      </c>
      <c r="K6" s="8" t="s">
        <v>78</v>
      </c>
    </row>
    <row r="7" customFormat="false" ht="15" hidden="false" customHeight="false" outlineLevel="0" collapsed="false">
      <c r="A7" s="8" t="n">
        <v>100006</v>
      </c>
      <c r="B7" s="8" t="s">
        <v>74</v>
      </c>
      <c r="C7" s="8" t="s">
        <v>75</v>
      </c>
      <c r="D7" s="8" t="s">
        <v>65</v>
      </c>
      <c r="E7" s="8" t="s">
        <v>45</v>
      </c>
      <c r="F7" s="8" t="s">
        <v>89</v>
      </c>
      <c r="G7" s="9" t="n">
        <v>350.34</v>
      </c>
      <c r="H7" s="9" t="n">
        <v>261.42</v>
      </c>
      <c r="I7" s="8" t="n">
        <v>2.6</v>
      </c>
      <c r="J7" s="8" t="s">
        <v>77</v>
      </c>
      <c r="K7" s="8" t="s">
        <v>78</v>
      </c>
    </row>
    <row r="8" customFormat="false" ht="15" hidden="false" customHeight="false" outlineLevel="0" collapsed="false">
      <c r="A8" s="8" t="n">
        <v>100007</v>
      </c>
      <c r="B8" s="8" t="s">
        <v>90</v>
      </c>
      <c r="C8" s="8" t="s">
        <v>75</v>
      </c>
      <c r="D8" s="8" t="s">
        <v>62</v>
      </c>
      <c r="E8" s="8" t="s">
        <v>45</v>
      </c>
      <c r="F8" s="8" t="s">
        <v>91</v>
      </c>
      <c r="G8" s="9" t="n">
        <v>188.02</v>
      </c>
      <c r="H8" s="9" t="n">
        <v>130.63</v>
      </c>
      <c r="I8" s="8" t="n">
        <v>2.6</v>
      </c>
      <c r="J8" s="8" t="s">
        <v>77</v>
      </c>
      <c r="K8" s="8" t="s">
        <v>78</v>
      </c>
    </row>
    <row r="9" customFormat="false" ht="15" hidden="false" customHeight="false" outlineLevel="0" collapsed="false">
      <c r="A9" s="8" t="n">
        <v>100008</v>
      </c>
      <c r="B9" s="8" t="s">
        <v>85</v>
      </c>
      <c r="C9" s="8" t="s">
        <v>86</v>
      </c>
      <c r="D9" s="8" t="s">
        <v>62</v>
      </c>
      <c r="E9" s="8" t="s">
        <v>47</v>
      </c>
      <c r="F9" s="8" t="s">
        <v>92</v>
      </c>
      <c r="G9" s="9" t="n">
        <v>125.75</v>
      </c>
      <c r="H9" s="9" t="n">
        <v>80.32</v>
      </c>
      <c r="I9" s="8" t="n">
        <v>2.1</v>
      </c>
      <c r="J9" s="8" t="s">
        <v>77</v>
      </c>
      <c r="K9" s="8" t="s">
        <v>78</v>
      </c>
    </row>
    <row r="10" customFormat="false" ht="15" hidden="false" customHeight="false" outlineLevel="0" collapsed="false">
      <c r="A10" s="8" t="n">
        <v>100009</v>
      </c>
      <c r="B10" s="8" t="s">
        <v>93</v>
      </c>
      <c r="C10" s="8" t="s">
        <v>83</v>
      </c>
      <c r="D10" s="8" t="s">
        <v>65</v>
      </c>
      <c r="E10" s="8" t="s">
        <v>43</v>
      </c>
      <c r="F10" s="8" t="s">
        <v>94</v>
      </c>
      <c r="G10" s="9" t="n">
        <v>177.41</v>
      </c>
      <c r="H10" s="9" t="n">
        <v>166.17</v>
      </c>
      <c r="I10" s="8" t="n">
        <v>1.6</v>
      </c>
      <c r="J10" s="8" t="s">
        <v>77</v>
      </c>
      <c r="K10" s="8" t="s">
        <v>78</v>
      </c>
    </row>
    <row r="11" customFormat="false" ht="15" hidden="false" customHeight="false" outlineLevel="0" collapsed="false">
      <c r="A11" s="8" t="n">
        <v>100010</v>
      </c>
      <c r="B11" s="8" t="s">
        <v>85</v>
      </c>
      <c r="C11" s="8" t="s">
        <v>86</v>
      </c>
      <c r="D11" s="8" t="s">
        <v>61</v>
      </c>
      <c r="E11" s="8" t="s">
        <v>43</v>
      </c>
      <c r="F11" s="8" t="s">
        <v>95</v>
      </c>
      <c r="G11" s="9" t="n">
        <v>170.22</v>
      </c>
      <c r="H11" s="9" t="n">
        <v>109.08</v>
      </c>
      <c r="I11" s="8" t="n">
        <v>1.6</v>
      </c>
      <c r="J11" s="8" t="s">
        <v>77</v>
      </c>
      <c r="K11" s="8" t="s">
        <v>78</v>
      </c>
    </row>
    <row r="12" customFormat="false" ht="15" hidden="false" customHeight="false" outlineLevel="0" collapsed="false">
      <c r="A12" s="8" t="n">
        <v>100011</v>
      </c>
      <c r="B12" s="8" t="s">
        <v>82</v>
      </c>
      <c r="C12" s="8" t="s">
        <v>83</v>
      </c>
      <c r="D12" s="8" t="s">
        <v>64</v>
      </c>
      <c r="E12" s="8" t="s">
        <v>49</v>
      </c>
      <c r="F12" s="8" t="s">
        <v>96</v>
      </c>
      <c r="G12" s="9" t="n">
        <v>24.77</v>
      </c>
      <c r="H12" s="9" t="n">
        <v>15.65</v>
      </c>
      <c r="I12" s="8" t="n">
        <v>0.18</v>
      </c>
      <c r="J12" s="8" t="s">
        <v>77</v>
      </c>
      <c r="K12" s="8" t="s">
        <v>78</v>
      </c>
    </row>
    <row r="13" customFormat="false" ht="15" hidden="false" customHeight="false" outlineLevel="0" collapsed="false">
      <c r="A13" s="8" t="n">
        <v>100012</v>
      </c>
      <c r="B13" s="8" t="s">
        <v>79</v>
      </c>
      <c r="C13" s="8" t="s">
        <v>80</v>
      </c>
      <c r="D13" s="8" t="s">
        <v>65</v>
      </c>
      <c r="E13" s="8" t="s">
        <v>49</v>
      </c>
      <c r="F13" s="8" t="s">
        <v>97</v>
      </c>
      <c r="G13" s="9" t="n">
        <v>21.01</v>
      </c>
      <c r="H13" s="9" t="n">
        <v>0</v>
      </c>
      <c r="I13" s="8" t="n">
        <v>0.18</v>
      </c>
      <c r="J13" s="8" t="s">
        <v>98</v>
      </c>
      <c r="K13" s="8" t="s">
        <v>78</v>
      </c>
    </row>
    <row r="14" customFormat="false" ht="15" hidden="false" customHeight="false" outlineLevel="0" collapsed="false">
      <c r="A14" s="8" t="n">
        <v>100013</v>
      </c>
      <c r="B14" s="8" t="s">
        <v>99</v>
      </c>
      <c r="C14" s="8" t="s">
        <v>100</v>
      </c>
      <c r="D14" s="8" t="s">
        <v>61</v>
      </c>
      <c r="E14" s="8" t="s">
        <v>37</v>
      </c>
      <c r="F14" s="8" t="s">
        <v>101</v>
      </c>
      <c r="G14" s="9" t="n">
        <v>141.45</v>
      </c>
      <c r="H14" s="9" t="n">
        <v>93</v>
      </c>
      <c r="I14" s="8" t="n">
        <v>1.3</v>
      </c>
      <c r="J14" s="8" t="s">
        <v>77</v>
      </c>
      <c r="K14" s="8" t="s">
        <v>78</v>
      </c>
    </row>
    <row r="15" customFormat="false" ht="15" hidden="false" customHeight="false" outlineLevel="0" collapsed="false">
      <c r="A15" s="8" t="n">
        <v>100014</v>
      </c>
      <c r="B15" s="8" t="s">
        <v>79</v>
      </c>
      <c r="C15" s="8" t="s">
        <v>80</v>
      </c>
      <c r="D15" s="8" t="s">
        <v>64</v>
      </c>
      <c r="E15" s="8" t="s">
        <v>55</v>
      </c>
      <c r="F15" s="8" t="s">
        <v>102</v>
      </c>
      <c r="G15" s="9" t="n">
        <v>99.09</v>
      </c>
      <c r="H15" s="9" t="n">
        <v>73.11</v>
      </c>
      <c r="I15" s="8" t="n">
        <v>0.7</v>
      </c>
      <c r="J15" s="8" t="s">
        <v>77</v>
      </c>
      <c r="K15" s="8" t="s">
        <v>78</v>
      </c>
    </row>
    <row r="16" customFormat="false" ht="15" hidden="false" customHeight="false" outlineLevel="0" collapsed="false">
      <c r="A16" s="8" t="n">
        <v>100015</v>
      </c>
      <c r="B16" s="8" t="s">
        <v>74</v>
      </c>
      <c r="C16" s="8" t="s">
        <v>75</v>
      </c>
      <c r="D16" s="8" t="s">
        <v>65</v>
      </c>
      <c r="E16" s="8" t="s">
        <v>45</v>
      </c>
      <c r="F16" s="8" t="s">
        <v>103</v>
      </c>
      <c r="G16" s="9" t="n">
        <v>344.05</v>
      </c>
      <c r="H16" s="9" t="n">
        <v>225.28</v>
      </c>
      <c r="I16" s="8" t="n">
        <v>2.6</v>
      </c>
      <c r="J16" s="8" t="s">
        <v>77</v>
      </c>
      <c r="K16" s="8" t="s">
        <v>78</v>
      </c>
    </row>
    <row r="17" customFormat="false" ht="15" hidden="false" customHeight="false" outlineLevel="0" collapsed="false">
      <c r="A17" s="8" t="n">
        <v>100016</v>
      </c>
      <c r="B17" s="8" t="s">
        <v>104</v>
      </c>
      <c r="C17" s="8" t="s">
        <v>86</v>
      </c>
      <c r="D17" s="8" t="s">
        <v>65</v>
      </c>
      <c r="E17" s="8" t="s">
        <v>41</v>
      </c>
      <c r="F17" s="8" t="s">
        <v>105</v>
      </c>
      <c r="G17" s="9" t="n">
        <v>325.32</v>
      </c>
      <c r="H17" s="9" t="n">
        <v>240.84</v>
      </c>
      <c r="I17" s="8" t="n">
        <v>2.8</v>
      </c>
      <c r="J17" s="8" t="s">
        <v>77</v>
      </c>
      <c r="K17" s="8" t="s">
        <v>78</v>
      </c>
    </row>
    <row r="18" customFormat="false" ht="15" hidden="false" customHeight="false" outlineLevel="0" collapsed="false">
      <c r="A18" s="8" t="n">
        <v>100017</v>
      </c>
      <c r="B18" s="8" t="s">
        <v>82</v>
      </c>
      <c r="C18" s="8" t="s">
        <v>83</v>
      </c>
      <c r="D18" s="8" t="s">
        <v>62</v>
      </c>
      <c r="E18" s="8" t="s">
        <v>47</v>
      </c>
      <c r="F18" s="8" t="s">
        <v>106</v>
      </c>
      <c r="G18" s="9" t="n">
        <v>143.34</v>
      </c>
      <c r="H18" s="9" t="n">
        <v>77.38</v>
      </c>
      <c r="I18" s="8" t="n">
        <v>2.1</v>
      </c>
      <c r="J18" s="8" t="s">
        <v>77</v>
      </c>
      <c r="K18" s="8" t="s">
        <v>78</v>
      </c>
    </row>
    <row r="19" customFormat="false" ht="15" hidden="false" customHeight="false" outlineLevel="0" collapsed="false">
      <c r="A19" s="8" t="n">
        <v>100018</v>
      </c>
      <c r="B19" s="8" t="s">
        <v>85</v>
      </c>
      <c r="C19" s="8" t="s">
        <v>86</v>
      </c>
      <c r="D19" s="8" t="s">
        <v>64</v>
      </c>
      <c r="E19" s="8" t="s">
        <v>37</v>
      </c>
      <c r="F19" s="8" t="s">
        <v>107</v>
      </c>
      <c r="G19" s="9" t="n">
        <v>141.64</v>
      </c>
      <c r="H19" s="9" t="n">
        <v>138.18</v>
      </c>
      <c r="I19" s="8" t="n">
        <v>1.3</v>
      </c>
      <c r="J19" s="8" t="s">
        <v>77</v>
      </c>
      <c r="K19" s="8" t="s">
        <v>78</v>
      </c>
    </row>
    <row r="20" customFormat="false" ht="15" hidden="false" customHeight="false" outlineLevel="0" collapsed="false">
      <c r="A20" s="8" t="n">
        <v>100019</v>
      </c>
      <c r="B20" s="8" t="s">
        <v>90</v>
      </c>
      <c r="C20" s="8" t="s">
        <v>75</v>
      </c>
      <c r="D20" s="8" t="s">
        <v>62</v>
      </c>
      <c r="E20" s="8" t="s">
        <v>55</v>
      </c>
      <c r="F20" s="8" t="s">
        <v>108</v>
      </c>
      <c r="G20" s="9" t="n">
        <v>50.44</v>
      </c>
      <c r="H20" s="9" t="n">
        <v>31.17</v>
      </c>
      <c r="I20" s="8" t="n">
        <v>0.7</v>
      </c>
      <c r="J20" s="8" t="s">
        <v>77</v>
      </c>
      <c r="K20" s="8" t="s">
        <v>78</v>
      </c>
    </row>
    <row r="21" customFormat="false" ht="15" hidden="false" customHeight="false" outlineLevel="0" collapsed="false">
      <c r="A21" s="8" t="n">
        <v>100020</v>
      </c>
      <c r="B21" s="8" t="s">
        <v>93</v>
      </c>
      <c r="C21" s="8" t="s">
        <v>83</v>
      </c>
      <c r="D21" s="8" t="s">
        <v>64</v>
      </c>
      <c r="E21" s="8" t="s">
        <v>53</v>
      </c>
      <c r="F21" s="8" t="s">
        <v>109</v>
      </c>
      <c r="G21" s="9" t="n">
        <v>53.87</v>
      </c>
      <c r="H21" s="9" t="n">
        <v>45.23</v>
      </c>
      <c r="I21" s="8" t="n">
        <v>0.5</v>
      </c>
      <c r="J21" s="8" t="s">
        <v>77</v>
      </c>
      <c r="K21" s="8" t="s">
        <v>78</v>
      </c>
    </row>
    <row r="22" customFormat="false" ht="15" hidden="false" customHeight="false" outlineLevel="0" collapsed="false">
      <c r="A22" s="8" t="n">
        <v>100021</v>
      </c>
      <c r="B22" s="8" t="s">
        <v>104</v>
      </c>
      <c r="C22" s="8" t="s">
        <v>86</v>
      </c>
      <c r="D22" s="8" t="s">
        <v>64</v>
      </c>
      <c r="E22" s="8" t="s">
        <v>47</v>
      </c>
      <c r="F22" s="8" t="s">
        <v>110</v>
      </c>
      <c r="G22" s="9" t="n">
        <v>251.92</v>
      </c>
      <c r="H22" s="9" t="n">
        <v>183.91</v>
      </c>
      <c r="I22" s="8" t="n">
        <v>2.1</v>
      </c>
      <c r="J22" s="8" t="s">
        <v>77</v>
      </c>
      <c r="K22" s="8" t="s">
        <v>78</v>
      </c>
    </row>
    <row r="23" customFormat="false" ht="15" hidden="false" customHeight="false" outlineLevel="0" collapsed="false">
      <c r="A23" s="8" t="n">
        <v>100022</v>
      </c>
      <c r="B23" s="8" t="s">
        <v>90</v>
      </c>
      <c r="C23" s="8" t="s">
        <v>75</v>
      </c>
      <c r="D23" s="8" t="s">
        <v>65</v>
      </c>
      <c r="E23" s="8" t="s">
        <v>53</v>
      </c>
      <c r="F23" s="8" t="s">
        <v>111</v>
      </c>
      <c r="G23" s="9" t="n">
        <v>55.16</v>
      </c>
      <c r="H23" s="9" t="n">
        <v>44.35</v>
      </c>
      <c r="I23" s="8" t="n">
        <v>0.5</v>
      </c>
      <c r="J23" s="8" t="s">
        <v>77</v>
      </c>
      <c r="K23" s="8" t="s">
        <v>78</v>
      </c>
    </row>
    <row r="24" customFormat="false" ht="15" hidden="false" customHeight="false" outlineLevel="0" collapsed="false">
      <c r="A24" s="8" t="n">
        <v>100023</v>
      </c>
      <c r="B24" s="8" t="s">
        <v>74</v>
      </c>
      <c r="C24" s="8" t="s">
        <v>75</v>
      </c>
      <c r="D24" s="8" t="s">
        <v>61</v>
      </c>
      <c r="E24" s="8" t="s">
        <v>47</v>
      </c>
      <c r="F24" s="8" t="s">
        <v>112</v>
      </c>
      <c r="G24" s="9" t="n">
        <v>171.37</v>
      </c>
      <c r="H24" s="9" t="n">
        <v>107.71</v>
      </c>
      <c r="I24" s="8" t="n">
        <v>2.1</v>
      </c>
      <c r="J24" s="8" t="s">
        <v>77</v>
      </c>
      <c r="K24" s="8" t="s">
        <v>78</v>
      </c>
    </row>
    <row r="25" customFormat="false" ht="15" hidden="false" customHeight="false" outlineLevel="0" collapsed="false">
      <c r="A25" s="8" t="n">
        <v>100024</v>
      </c>
      <c r="B25" s="8" t="s">
        <v>99</v>
      </c>
      <c r="C25" s="8" t="s">
        <v>100</v>
      </c>
      <c r="D25" s="8" t="s">
        <v>62</v>
      </c>
      <c r="E25" s="8" t="s">
        <v>51</v>
      </c>
      <c r="F25" s="8" t="s">
        <v>84</v>
      </c>
      <c r="G25" s="9" t="n">
        <v>21.19</v>
      </c>
      <c r="H25" s="9" t="n">
        <v>13.94</v>
      </c>
      <c r="I25" s="8" t="n">
        <v>0.3</v>
      </c>
      <c r="J25" s="8" t="s">
        <v>77</v>
      </c>
      <c r="K25" s="8" t="s">
        <v>78</v>
      </c>
    </row>
    <row r="26" customFormat="false" ht="15" hidden="false" customHeight="false" outlineLevel="0" collapsed="false">
      <c r="A26" s="8" t="n">
        <v>100025</v>
      </c>
      <c r="B26" s="8" t="s">
        <v>79</v>
      </c>
      <c r="C26" s="8" t="s">
        <v>80</v>
      </c>
      <c r="D26" s="8" t="s">
        <v>64</v>
      </c>
      <c r="E26" s="8" t="s">
        <v>37</v>
      </c>
      <c r="F26" s="8" t="s">
        <v>113</v>
      </c>
      <c r="G26" s="9" t="n">
        <v>171.46</v>
      </c>
      <c r="H26" s="9" t="n">
        <v>0</v>
      </c>
      <c r="I26" s="8" t="n">
        <v>1.3</v>
      </c>
      <c r="J26" s="8" t="s">
        <v>98</v>
      </c>
      <c r="K26" s="8" t="s">
        <v>78</v>
      </c>
    </row>
    <row r="27" customFormat="false" ht="15" hidden="false" customHeight="false" outlineLevel="0" collapsed="false">
      <c r="A27" s="8" t="n">
        <v>100026</v>
      </c>
      <c r="B27" s="8" t="s">
        <v>90</v>
      </c>
      <c r="C27" s="8" t="s">
        <v>75</v>
      </c>
      <c r="D27" s="8" t="s">
        <v>64</v>
      </c>
      <c r="E27" s="8" t="s">
        <v>47</v>
      </c>
      <c r="F27" s="8" t="s">
        <v>114</v>
      </c>
      <c r="G27" s="9" t="n">
        <v>282.42</v>
      </c>
      <c r="H27" s="9" t="n">
        <v>187.41</v>
      </c>
      <c r="I27" s="8" t="n">
        <v>2.1</v>
      </c>
      <c r="J27" s="8" t="s">
        <v>77</v>
      </c>
      <c r="K27" s="8" t="s">
        <v>78</v>
      </c>
    </row>
    <row r="28" customFormat="false" ht="15" hidden="false" customHeight="false" outlineLevel="0" collapsed="false">
      <c r="A28" s="8" t="n">
        <v>100027</v>
      </c>
      <c r="B28" s="8" t="s">
        <v>79</v>
      </c>
      <c r="C28" s="8" t="s">
        <v>80</v>
      </c>
      <c r="D28" s="8" t="s">
        <v>62</v>
      </c>
      <c r="E28" s="8" t="s">
        <v>45</v>
      </c>
      <c r="F28" s="8" t="s">
        <v>113</v>
      </c>
      <c r="G28" s="9" t="n">
        <v>160.27</v>
      </c>
      <c r="H28" s="9" t="n">
        <v>120.18</v>
      </c>
      <c r="I28" s="8" t="n">
        <v>2.6</v>
      </c>
      <c r="J28" s="8" t="s">
        <v>77</v>
      </c>
      <c r="K28" s="8" t="s">
        <v>78</v>
      </c>
    </row>
    <row r="29" customFormat="false" ht="15" hidden="false" customHeight="false" outlineLevel="0" collapsed="false">
      <c r="A29" s="8" t="n">
        <v>100028</v>
      </c>
      <c r="B29" s="8" t="s">
        <v>90</v>
      </c>
      <c r="C29" s="8" t="s">
        <v>75</v>
      </c>
      <c r="D29" s="8" t="s">
        <v>65</v>
      </c>
      <c r="E29" s="8" t="s">
        <v>37</v>
      </c>
      <c r="F29" s="8" t="s">
        <v>115</v>
      </c>
      <c r="G29" s="9" t="n">
        <v>187.15</v>
      </c>
      <c r="H29" s="9" t="n">
        <v>0</v>
      </c>
      <c r="I29" s="8" t="n">
        <v>1.3</v>
      </c>
      <c r="J29" s="8" t="s">
        <v>116</v>
      </c>
      <c r="K29" s="8" t="s">
        <v>117</v>
      </c>
    </row>
    <row r="30" customFormat="false" ht="15" hidden="false" customHeight="false" outlineLevel="0" collapsed="false">
      <c r="A30" s="8" t="n">
        <v>100029</v>
      </c>
      <c r="B30" s="8" t="s">
        <v>79</v>
      </c>
      <c r="C30" s="8" t="s">
        <v>80</v>
      </c>
      <c r="D30" s="8" t="s">
        <v>64</v>
      </c>
      <c r="E30" s="8" t="s">
        <v>51</v>
      </c>
      <c r="F30" s="8" t="s">
        <v>118</v>
      </c>
      <c r="G30" s="9" t="n">
        <v>33.65</v>
      </c>
      <c r="H30" s="9" t="n">
        <v>26.8</v>
      </c>
      <c r="I30" s="8" t="n">
        <v>0.3</v>
      </c>
      <c r="J30" s="8" t="s">
        <v>77</v>
      </c>
      <c r="K30" s="8" t="s">
        <v>78</v>
      </c>
    </row>
    <row r="31" customFormat="false" ht="15" hidden="false" customHeight="false" outlineLevel="0" collapsed="false">
      <c r="A31" s="8" t="n">
        <v>100030</v>
      </c>
      <c r="B31" s="8" t="s">
        <v>104</v>
      </c>
      <c r="C31" s="8" t="s">
        <v>86</v>
      </c>
      <c r="D31" s="8" t="s">
        <v>64</v>
      </c>
      <c r="E31" s="8" t="s">
        <v>45</v>
      </c>
      <c r="F31" s="8" t="s">
        <v>119</v>
      </c>
      <c r="G31" s="9" t="n">
        <v>308.28</v>
      </c>
      <c r="H31" s="9" t="n">
        <v>0</v>
      </c>
      <c r="I31" s="8" t="n">
        <v>2.6</v>
      </c>
      <c r="J31" s="8" t="s">
        <v>116</v>
      </c>
      <c r="K31" s="8" t="s">
        <v>120</v>
      </c>
    </row>
    <row r="32" customFormat="false" ht="15" hidden="false" customHeight="false" outlineLevel="0" collapsed="false">
      <c r="A32" s="8" t="n">
        <v>100031</v>
      </c>
      <c r="B32" s="8" t="s">
        <v>93</v>
      </c>
      <c r="C32" s="8" t="s">
        <v>83</v>
      </c>
      <c r="D32" s="8" t="s">
        <v>62</v>
      </c>
      <c r="E32" s="8" t="s">
        <v>45</v>
      </c>
      <c r="F32" s="8" t="s">
        <v>121</v>
      </c>
      <c r="G32" s="9" t="n">
        <v>147.26</v>
      </c>
      <c r="H32" s="9" t="n">
        <v>84.04</v>
      </c>
      <c r="I32" s="8" t="n">
        <v>2.6</v>
      </c>
      <c r="J32" s="8" t="s">
        <v>77</v>
      </c>
      <c r="K32" s="8" t="s">
        <v>78</v>
      </c>
    </row>
    <row r="33" customFormat="false" ht="15" hidden="false" customHeight="false" outlineLevel="0" collapsed="false">
      <c r="A33" s="8" t="n">
        <v>100032</v>
      </c>
      <c r="B33" s="8" t="s">
        <v>90</v>
      </c>
      <c r="C33" s="8" t="s">
        <v>75</v>
      </c>
      <c r="D33" s="8" t="s">
        <v>61</v>
      </c>
      <c r="E33" s="8" t="s">
        <v>55</v>
      </c>
      <c r="F33" s="8" t="s">
        <v>122</v>
      </c>
      <c r="G33" s="9" t="n">
        <v>65.5</v>
      </c>
      <c r="H33" s="9" t="n">
        <v>46.72</v>
      </c>
      <c r="I33" s="8" t="n">
        <v>0.7</v>
      </c>
      <c r="J33" s="8" t="s">
        <v>77</v>
      </c>
      <c r="K33" s="8" t="s">
        <v>78</v>
      </c>
    </row>
    <row r="34" customFormat="false" ht="15" hidden="false" customHeight="false" outlineLevel="0" collapsed="false">
      <c r="A34" s="8" t="n">
        <v>100033</v>
      </c>
      <c r="B34" s="8" t="s">
        <v>74</v>
      </c>
      <c r="C34" s="8" t="s">
        <v>75</v>
      </c>
      <c r="D34" s="8" t="s">
        <v>62</v>
      </c>
      <c r="E34" s="8" t="s">
        <v>39</v>
      </c>
      <c r="F34" s="8" t="s">
        <v>123</v>
      </c>
      <c r="G34" s="9" t="n">
        <v>119.09</v>
      </c>
      <c r="H34" s="9" t="n">
        <v>82.08</v>
      </c>
      <c r="I34" s="8" t="n">
        <v>1.92</v>
      </c>
      <c r="J34" s="8" t="s">
        <v>77</v>
      </c>
      <c r="K34" s="8" t="s">
        <v>78</v>
      </c>
    </row>
    <row r="35" customFormat="false" ht="15" hidden="false" customHeight="false" outlineLevel="0" collapsed="false">
      <c r="A35" s="8" t="n">
        <v>100034</v>
      </c>
      <c r="B35" s="8" t="s">
        <v>90</v>
      </c>
      <c r="C35" s="8" t="s">
        <v>75</v>
      </c>
      <c r="D35" s="8" t="s">
        <v>65</v>
      </c>
      <c r="E35" s="8" t="s">
        <v>39</v>
      </c>
      <c r="F35" s="8" t="s">
        <v>124</v>
      </c>
      <c r="G35" s="9" t="n">
        <v>220.88</v>
      </c>
      <c r="H35" s="9" t="n">
        <v>169.3</v>
      </c>
      <c r="I35" s="8" t="n">
        <v>1.92</v>
      </c>
      <c r="J35" s="8" t="s">
        <v>77</v>
      </c>
      <c r="K35" s="8" t="s">
        <v>78</v>
      </c>
    </row>
    <row r="36" customFormat="false" ht="15" hidden="false" customHeight="false" outlineLevel="0" collapsed="false">
      <c r="A36" s="8" t="n">
        <v>100035</v>
      </c>
      <c r="B36" s="8" t="s">
        <v>85</v>
      </c>
      <c r="C36" s="8" t="s">
        <v>86</v>
      </c>
      <c r="D36" s="8" t="s">
        <v>62</v>
      </c>
      <c r="E36" s="8" t="s">
        <v>45</v>
      </c>
      <c r="F36" s="8" t="s">
        <v>125</v>
      </c>
      <c r="G36" s="9" t="n">
        <v>156.72</v>
      </c>
      <c r="H36" s="9" t="n">
        <v>116.7</v>
      </c>
      <c r="I36" s="8" t="n">
        <v>2.6</v>
      </c>
      <c r="J36" s="8" t="s">
        <v>77</v>
      </c>
      <c r="K36" s="8" t="s">
        <v>78</v>
      </c>
    </row>
    <row r="37" customFormat="false" ht="15" hidden="false" customHeight="false" outlineLevel="0" collapsed="false">
      <c r="A37" s="8" t="n">
        <v>100036</v>
      </c>
      <c r="B37" s="8" t="s">
        <v>90</v>
      </c>
      <c r="C37" s="8" t="s">
        <v>75</v>
      </c>
      <c r="D37" s="8" t="s">
        <v>64</v>
      </c>
      <c r="E37" s="8" t="s">
        <v>55</v>
      </c>
      <c r="F37" s="8" t="s">
        <v>125</v>
      </c>
      <c r="G37" s="9" t="n">
        <v>99.16</v>
      </c>
      <c r="H37" s="9" t="n">
        <v>0</v>
      </c>
      <c r="I37" s="8" t="n">
        <v>0.7</v>
      </c>
      <c r="J37" s="8" t="s">
        <v>98</v>
      </c>
      <c r="K37" s="8" t="s">
        <v>78</v>
      </c>
    </row>
    <row r="38" customFormat="false" ht="15" hidden="false" customHeight="false" outlineLevel="0" collapsed="false">
      <c r="A38" s="8" t="n">
        <v>100037</v>
      </c>
      <c r="B38" s="8" t="s">
        <v>82</v>
      </c>
      <c r="C38" s="8" t="s">
        <v>83</v>
      </c>
      <c r="D38" s="8" t="s">
        <v>65</v>
      </c>
      <c r="E38" s="8" t="s">
        <v>45</v>
      </c>
      <c r="F38" s="8" t="s">
        <v>126</v>
      </c>
      <c r="G38" s="9" t="n">
        <v>278.21</v>
      </c>
      <c r="H38" s="9" t="n">
        <v>226.47</v>
      </c>
      <c r="I38" s="8" t="n">
        <v>2.6</v>
      </c>
      <c r="J38" s="8" t="s">
        <v>77</v>
      </c>
      <c r="K38" s="8" t="s">
        <v>78</v>
      </c>
    </row>
    <row r="39" customFormat="false" ht="15" hidden="false" customHeight="false" outlineLevel="0" collapsed="false">
      <c r="A39" s="8" t="n">
        <v>100038</v>
      </c>
      <c r="B39" s="8" t="s">
        <v>93</v>
      </c>
      <c r="C39" s="8" t="s">
        <v>83</v>
      </c>
      <c r="D39" s="8" t="s">
        <v>64</v>
      </c>
      <c r="E39" s="8" t="s">
        <v>53</v>
      </c>
      <c r="F39" s="8" t="s">
        <v>127</v>
      </c>
      <c r="G39" s="9" t="n">
        <v>64.53</v>
      </c>
      <c r="H39" s="9" t="n">
        <v>50.52</v>
      </c>
      <c r="I39" s="8" t="n">
        <v>0.5</v>
      </c>
      <c r="J39" s="8" t="s">
        <v>77</v>
      </c>
      <c r="K39" s="8" t="s">
        <v>78</v>
      </c>
    </row>
    <row r="40" customFormat="false" ht="15" hidden="false" customHeight="false" outlineLevel="0" collapsed="false">
      <c r="A40" s="8" t="n">
        <v>100039</v>
      </c>
      <c r="B40" s="8" t="s">
        <v>104</v>
      </c>
      <c r="C40" s="8" t="s">
        <v>86</v>
      </c>
      <c r="D40" s="8" t="s">
        <v>61</v>
      </c>
      <c r="E40" s="8" t="s">
        <v>41</v>
      </c>
      <c r="F40" s="8" t="s">
        <v>128</v>
      </c>
      <c r="G40" s="9" t="n">
        <v>232.23</v>
      </c>
      <c r="H40" s="9" t="n">
        <v>133.79</v>
      </c>
      <c r="I40" s="8" t="n">
        <v>2.8</v>
      </c>
      <c r="J40" s="8" t="s">
        <v>77</v>
      </c>
      <c r="K40" s="8" t="s">
        <v>78</v>
      </c>
    </row>
    <row r="41" customFormat="false" ht="15" hidden="false" customHeight="false" outlineLevel="0" collapsed="false">
      <c r="A41" s="8" t="n">
        <v>100040</v>
      </c>
      <c r="B41" s="8" t="s">
        <v>82</v>
      </c>
      <c r="C41" s="8" t="s">
        <v>83</v>
      </c>
      <c r="D41" s="8" t="s">
        <v>63</v>
      </c>
      <c r="E41" s="8" t="s">
        <v>43</v>
      </c>
      <c r="F41" s="8" t="s">
        <v>129</v>
      </c>
      <c r="G41" s="9" t="n">
        <v>175.12</v>
      </c>
      <c r="H41" s="9" t="n">
        <v>118.21</v>
      </c>
      <c r="I41" s="8" t="n">
        <v>1.6</v>
      </c>
      <c r="J41" s="8" t="s">
        <v>77</v>
      </c>
      <c r="K41" s="8" t="s">
        <v>78</v>
      </c>
    </row>
    <row r="42" customFormat="false" ht="15" hidden="false" customHeight="false" outlineLevel="0" collapsed="false">
      <c r="A42" s="8" t="n">
        <v>100041</v>
      </c>
      <c r="B42" s="8" t="s">
        <v>74</v>
      </c>
      <c r="C42" s="8" t="s">
        <v>75</v>
      </c>
      <c r="D42" s="8" t="s">
        <v>64</v>
      </c>
      <c r="E42" s="8" t="s">
        <v>45</v>
      </c>
      <c r="F42" s="8" t="s">
        <v>130</v>
      </c>
      <c r="G42" s="9" t="n">
        <v>269.06</v>
      </c>
      <c r="H42" s="9" t="n">
        <v>236.62</v>
      </c>
      <c r="I42" s="8" t="n">
        <v>2.6</v>
      </c>
      <c r="J42" s="8" t="s">
        <v>77</v>
      </c>
      <c r="K42" s="8" t="s">
        <v>78</v>
      </c>
    </row>
    <row r="43" customFormat="false" ht="15" hidden="false" customHeight="false" outlineLevel="0" collapsed="false">
      <c r="A43" s="8" t="n">
        <v>100042</v>
      </c>
      <c r="B43" s="8" t="s">
        <v>99</v>
      </c>
      <c r="C43" s="8" t="s">
        <v>100</v>
      </c>
      <c r="D43" s="8" t="s">
        <v>65</v>
      </c>
      <c r="E43" s="8" t="s">
        <v>49</v>
      </c>
      <c r="F43" s="8" t="s">
        <v>131</v>
      </c>
      <c r="G43" s="9" t="n">
        <v>22.44</v>
      </c>
      <c r="H43" s="9" t="n">
        <v>18.46</v>
      </c>
      <c r="I43" s="8" t="n">
        <v>0.18</v>
      </c>
      <c r="J43" s="8" t="s">
        <v>77</v>
      </c>
      <c r="K43" s="8" t="s">
        <v>78</v>
      </c>
    </row>
    <row r="44" customFormat="false" ht="15" hidden="false" customHeight="false" outlineLevel="0" collapsed="false">
      <c r="A44" s="8" t="n">
        <v>100043</v>
      </c>
      <c r="B44" s="8" t="s">
        <v>90</v>
      </c>
      <c r="C44" s="8" t="s">
        <v>75</v>
      </c>
      <c r="D44" s="8" t="s">
        <v>63</v>
      </c>
      <c r="E44" s="8" t="s">
        <v>55</v>
      </c>
      <c r="F44" s="8" t="s">
        <v>132</v>
      </c>
      <c r="G44" s="9" t="n">
        <v>71.33</v>
      </c>
      <c r="H44" s="9" t="n">
        <v>50.59</v>
      </c>
      <c r="I44" s="8" t="n">
        <v>0.7</v>
      </c>
      <c r="J44" s="8" t="s">
        <v>77</v>
      </c>
      <c r="K44" s="8" t="s">
        <v>78</v>
      </c>
    </row>
    <row r="45" customFormat="false" ht="15" hidden="false" customHeight="false" outlineLevel="0" collapsed="false">
      <c r="A45" s="8" t="n">
        <v>100044</v>
      </c>
      <c r="B45" s="8" t="s">
        <v>85</v>
      </c>
      <c r="C45" s="8" t="s">
        <v>86</v>
      </c>
      <c r="D45" s="8" t="s">
        <v>62</v>
      </c>
      <c r="E45" s="8" t="s">
        <v>43</v>
      </c>
      <c r="F45" s="8" t="s">
        <v>133</v>
      </c>
      <c r="G45" s="9" t="n">
        <v>107.31</v>
      </c>
      <c r="H45" s="9" t="n">
        <v>75.66</v>
      </c>
      <c r="I45" s="8" t="n">
        <v>1.6</v>
      </c>
      <c r="J45" s="8" t="s">
        <v>77</v>
      </c>
      <c r="K45" s="8" t="s">
        <v>78</v>
      </c>
    </row>
    <row r="46" customFormat="false" ht="15" hidden="false" customHeight="false" outlineLevel="0" collapsed="false">
      <c r="A46" s="8" t="n">
        <v>100045</v>
      </c>
      <c r="B46" s="8" t="s">
        <v>82</v>
      </c>
      <c r="C46" s="8" t="s">
        <v>83</v>
      </c>
      <c r="D46" s="8" t="s">
        <v>62</v>
      </c>
      <c r="E46" s="8" t="s">
        <v>41</v>
      </c>
      <c r="F46" s="8" t="s">
        <v>134</v>
      </c>
      <c r="G46" s="9" t="n">
        <v>187.14</v>
      </c>
      <c r="H46" s="9" t="n">
        <v>92.74</v>
      </c>
      <c r="I46" s="8" t="n">
        <v>2.8</v>
      </c>
      <c r="J46" s="8" t="s">
        <v>77</v>
      </c>
      <c r="K46" s="8" t="s">
        <v>78</v>
      </c>
    </row>
    <row r="47" customFormat="false" ht="15" hidden="false" customHeight="false" outlineLevel="0" collapsed="false">
      <c r="A47" s="8" t="n">
        <v>100046</v>
      </c>
      <c r="B47" s="8" t="s">
        <v>82</v>
      </c>
      <c r="C47" s="8" t="s">
        <v>83</v>
      </c>
      <c r="D47" s="8" t="s">
        <v>63</v>
      </c>
      <c r="E47" s="8" t="s">
        <v>41</v>
      </c>
      <c r="F47" s="8" t="s">
        <v>135</v>
      </c>
      <c r="G47" s="9" t="n">
        <v>294.85</v>
      </c>
      <c r="H47" s="9" t="n">
        <v>231.04</v>
      </c>
      <c r="I47" s="8" t="n">
        <v>2.8</v>
      </c>
      <c r="J47" s="8" t="s">
        <v>77</v>
      </c>
      <c r="K47" s="8" t="s">
        <v>78</v>
      </c>
    </row>
    <row r="48" customFormat="false" ht="15" hidden="false" customHeight="false" outlineLevel="0" collapsed="false">
      <c r="A48" s="8" t="n">
        <v>100047</v>
      </c>
      <c r="B48" s="8" t="s">
        <v>82</v>
      </c>
      <c r="C48" s="8" t="s">
        <v>83</v>
      </c>
      <c r="D48" s="8" t="s">
        <v>64</v>
      </c>
      <c r="E48" s="8" t="s">
        <v>47</v>
      </c>
      <c r="F48" s="8" t="s">
        <v>136</v>
      </c>
      <c r="G48" s="9" t="n">
        <v>240.73</v>
      </c>
      <c r="H48" s="9" t="n">
        <v>181.66</v>
      </c>
      <c r="I48" s="8" t="n">
        <v>2.1</v>
      </c>
      <c r="J48" s="8" t="s">
        <v>77</v>
      </c>
      <c r="K48" s="8" t="s">
        <v>78</v>
      </c>
    </row>
    <row r="49" customFormat="false" ht="15" hidden="false" customHeight="false" outlineLevel="0" collapsed="false">
      <c r="A49" s="8" t="n">
        <v>100048</v>
      </c>
      <c r="B49" s="8" t="s">
        <v>79</v>
      </c>
      <c r="C49" s="8" t="s">
        <v>80</v>
      </c>
      <c r="D49" s="8" t="s">
        <v>63</v>
      </c>
      <c r="E49" s="8" t="s">
        <v>45</v>
      </c>
      <c r="F49" s="8" t="s">
        <v>137</v>
      </c>
      <c r="G49" s="9" t="n">
        <v>293.94</v>
      </c>
      <c r="H49" s="9" t="n">
        <v>0</v>
      </c>
      <c r="I49" s="8" t="n">
        <v>2.6</v>
      </c>
      <c r="J49" s="8" t="s">
        <v>116</v>
      </c>
      <c r="K49" s="8" t="s">
        <v>138</v>
      </c>
    </row>
    <row r="50" customFormat="false" ht="15" hidden="false" customHeight="false" outlineLevel="0" collapsed="false">
      <c r="A50" s="8" t="n">
        <v>100049</v>
      </c>
      <c r="B50" s="8" t="s">
        <v>79</v>
      </c>
      <c r="C50" s="8" t="s">
        <v>80</v>
      </c>
      <c r="D50" s="8" t="s">
        <v>65</v>
      </c>
      <c r="E50" s="8" t="s">
        <v>47</v>
      </c>
      <c r="F50" s="8" t="s">
        <v>139</v>
      </c>
      <c r="G50" s="9" t="n">
        <v>294.09</v>
      </c>
      <c r="H50" s="9" t="n">
        <v>201.36</v>
      </c>
      <c r="I50" s="8" t="n">
        <v>2.1</v>
      </c>
      <c r="J50" s="8" t="s">
        <v>77</v>
      </c>
      <c r="K50" s="8" t="s">
        <v>78</v>
      </c>
    </row>
    <row r="51" customFormat="false" ht="15" hidden="false" customHeight="false" outlineLevel="0" collapsed="false">
      <c r="A51" s="8" t="n">
        <v>100050</v>
      </c>
      <c r="B51" s="8" t="s">
        <v>90</v>
      </c>
      <c r="C51" s="8" t="s">
        <v>75</v>
      </c>
      <c r="D51" s="8" t="s">
        <v>61</v>
      </c>
      <c r="E51" s="8" t="s">
        <v>55</v>
      </c>
      <c r="F51" s="8" t="s">
        <v>140</v>
      </c>
      <c r="G51" s="9" t="n">
        <v>64.59</v>
      </c>
      <c r="H51" s="9" t="n">
        <v>48.31</v>
      </c>
      <c r="I51" s="8" t="n">
        <v>0.7</v>
      </c>
      <c r="J51" s="8" t="s">
        <v>77</v>
      </c>
      <c r="K51" s="8" t="s">
        <v>78</v>
      </c>
    </row>
    <row r="52" customFormat="false" ht="15" hidden="false" customHeight="false" outlineLevel="0" collapsed="false">
      <c r="A52" s="8" t="n">
        <v>100051</v>
      </c>
      <c r="B52" s="8" t="s">
        <v>74</v>
      </c>
      <c r="C52" s="8" t="s">
        <v>75</v>
      </c>
      <c r="D52" s="8" t="s">
        <v>64</v>
      </c>
      <c r="E52" s="8" t="s">
        <v>55</v>
      </c>
      <c r="F52" s="8" t="s">
        <v>141</v>
      </c>
      <c r="G52" s="9" t="n">
        <v>76.6</v>
      </c>
      <c r="H52" s="9" t="n">
        <v>62.07</v>
      </c>
      <c r="I52" s="8" t="n">
        <v>0.7</v>
      </c>
      <c r="J52" s="8" t="s">
        <v>77</v>
      </c>
      <c r="K52" s="8" t="s">
        <v>78</v>
      </c>
    </row>
    <row r="53" customFormat="false" ht="15" hidden="false" customHeight="false" outlineLevel="0" collapsed="false">
      <c r="A53" s="8" t="n">
        <v>100052</v>
      </c>
      <c r="B53" s="8" t="s">
        <v>85</v>
      </c>
      <c r="C53" s="8" t="s">
        <v>86</v>
      </c>
      <c r="D53" s="8" t="s">
        <v>64</v>
      </c>
      <c r="E53" s="8" t="s">
        <v>39</v>
      </c>
      <c r="F53" s="8" t="s">
        <v>142</v>
      </c>
      <c r="G53" s="9" t="n">
        <v>260.2</v>
      </c>
      <c r="H53" s="9" t="n">
        <v>166.62</v>
      </c>
      <c r="I53" s="8" t="n">
        <v>1.92</v>
      </c>
      <c r="J53" s="8" t="s">
        <v>77</v>
      </c>
      <c r="K53" s="8" t="s">
        <v>78</v>
      </c>
    </row>
    <row r="54" customFormat="false" ht="15" hidden="false" customHeight="false" outlineLevel="0" collapsed="false">
      <c r="A54" s="8" t="n">
        <v>100053</v>
      </c>
      <c r="B54" s="8" t="s">
        <v>104</v>
      </c>
      <c r="C54" s="8" t="s">
        <v>86</v>
      </c>
      <c r="D54" s="8" t="s">
        <v>65</v>
      </c>
      <c r="E54" s="8" t="s">
        <v>45</v>
      </c>
      <c r="F54" s="8" t="s">
        <v>136</v>
      </c>
      <c r="G54" s="9" t="n">
        <v>333.52</v>
      </c>
      <c r="H54" s="9" t="n">
        <v>186.5</v>
      </c>
      <c r="I54" s="8" t="n">
        <v>2.6</v>
      </c>
      <c r="J54" s="8" t="s">
        <v>77</v>
      </c>
      <c r="K54" s="8" t="s">
        <v>78</v>
      </c>
    </row>
    <row r="55" customFormat="false" ht="15" hidden="false" customHeight="false" outlineLevel="0" collapsed="false">
      <c r="A55" s="8" t="n">
        <v>100054</v>
      </c>
      <c r="B55" s="8" t="s">
        <v>79</v>
      </c>
      <c r="C55" s="8" t="s">
        <v>80</v>
      </c>
      <c r="D55" s="8" t="s">
        <v>64</v>
      </c>
      <c r="E55" s="8" t="s">
        <v>41</v>
      </c>
      <c r="F55" s="8" t="s">
        <v>143</v>
      </c>
      <c r="G55" s="9" t="n">
        <v>336.77</v>
      </c>
      <c r="H55" s="9" t="n">
        <v>228.93</v>
      </c>
      <c r="I55" s="8" t="n">
        <v>2.8</v>
      </c>
      <c r="J55" s="8" t="s">
        <v>77</v>
      </c>
      <c r="K55" s="8" t="s">
        <v>78</v>
      </c>
    </row>
    <row r="56" customFormat="false" ht="15" hidden="false" customHeight="false" outlineLevel="0" collapsed="false">
      <c r="A56" s="8" t="n">
        <v>100055</v>
      </c>
      <c r="B56" s="8" t="s">
        <v>82</v>
      </c>
      <c r="C56" s="8" t="s">
        <v>83</v>
      </c>
      <c r="D56" s="8" t="s">
        <v>64</v>
      </c>
      <c r="E56" s="8" t="s">
        <v>55</v>
      </c>
      <c r="F56" s="8" t="s">
        <v>140</v>
      </c>
      <c r="G56" s="9" t="n">
        <v>88.23</v>
      </c>
      <c r="H56" s="9" t="n">
        <v>62.65</v>
      </c>
      <c r="I56" s="8" t="n">
        <v>0.7</v>
      </c>
      <c r="J56" s="8" t="s">
        <v>77</v>
      </c>
      <c r="K56" s="8" t="s">
        <v>78</v>
      </c>
    </row>
    <row r="57" customFormat="false" ht="15" hidden="false" customHeight="false" outlineLevel="0" collapsed="false">
      <c r="A57" s="8" t="n">
        <v>100056</v>
      </c>
      <c r="B57" s="8" t="s">
        <v>99</v>
      </c>
      <c r="C57" s="8" t="s">
        <v>100</v>
      </c>
      <c r="D57" s="8" t="s">
        <v>62</v>
      </c>
      <c r="E57" s="8" t="s">
        <v>39</v>
      </c>
      <c r="F57" s="8" t="s">
        <v>144</v>
      </c>
      <c r="G57" s="9" t="n">
        <v>107.33</v>
      </c>
      <c r="H57" s="9" t="n">
        <v>81.95</v>
      </c>
      <c r="I57" s="8" t="n">
        <v>1.92</v>
      </c>
      <c r="J57" s="8" t="s">
        <v>77</v>
      </c>
      <c r="K57" s="8" t="s">
        <v>78</v>
      </c>
    </row>
    <row r="58" customFormat="false" ht="15" hidden="false" customHeight="false" outlineLevel="0" collapsed="false">
      <c r="A58" s="8" t="n">
        <v>100057</v>
      </c>
      <c r="B58" s="8" t="s">
        <v>104</v>
      </c>
      <c r="C58" s="8" t="s">
        <v>86</v>
      </c>
      <c r="D58" s="8" t="s">
        <v>62</v>
      </c>
      <c r="E58" s="8" t="s">
        <v>43</v>
      </c>
      <c r="F58" s="8" t="s">
        <v>125</v>
      </c>
      <c r="G58" s="9" t="n">
        <v>90.01</v>
      </c>
      <c r="H58" s="9" t="n">
        <v>84.49</v>
      </c>
      <c r="I58" s="8" t="n">
        <v>1.6</v>
      </c>
      <c r="J58" s="8" t="s">
        <v>77</v>
      </c>
      <c r="K58" s="8" t="s">
        <v>78</v>
      </c>
    </row>
    <row r="59" customFormat="false" ht="15" hidden="false" customHeight="false" outlineLevel="0" collapsed="false">
      <c r="A59" s="8" t="n">
        <v>100058</v>
      </c>
      <c r="B59" s="8" t="s">
        <v>99</v>
      </c>
      <c r="C59" s="8" t="s">
        <v>100</v>
      </c>
      <c r="D59" s="8" t="s">
        <v>64</v>
      </c>
      <c r="E59" s="8" t="s">
        <v>55</v>
      </c>
      <c r="F59" s="8" t="s">
        <v>145</v>
      </c>
      <c r="G59" s="9" t="n">
        <v>76.72</v>
      </c>
      <c r="H59" s="9" t="n">
        <v>61.05</v>
      </c>
      <c r="I59" s="8" t="n">
        <v>0.7</v>
      </c>
      <c r="J59" s="8" t="s">
        <v>77</v>
      </c>
      <c r="K59" s="8" t="s">
        <v>78</v>
      </c>
    </row>
    <row r="60" customFormat="false" ht="15" hidden="false" customHeight="false" outlineLevel="0" collapsed="false">
      <c r="A60" s="8" t="n">
        <v>100059</v>
      </c>
      <c r="B60" s="8" t="s">
        <v>74</v>
      </c>
      <c r="C60" s="8" t="s">
        <v>75</v>
      </c>
      <c r="D60" s="8" t="s">
        <v>64</v>
      </c>
      <c r="E60" s="8" t="s">
        <v>43</v>
      </c>
      <c r="F60" s="8" t="s">
        <v>146</v>
      </c>
      <c r="G60" s="9" t="n">
        <v>178.23</v>
      </c>
      <c r="H60" s="9" t="n">
        <v>0</v>
      </c>
      <c r="I60" s="8" t="n">
        <v>1.6</v>
      </c>
      <c r="J60" s="8" t="s">
        <v>116</v>
      </c>
      <c r="K60" s="8" t="s">
        <v>120</v>
      </c>
    </row>
    <row r="61" customFormat="false" ht="15" hidden="false" customHeight="false" outlineLevel="0" collapsed="false">
      <c r="A61" s="8" t="n">
        <v>100060</v>
      </c>
      <c r="B61" s="8" t="s">
        <v>90</v>
      </c>
      <c r="C61" s="8" t="s">
        <v>75</v>
      </c>
      <c r="D61" s="8" t="s">
        <v>65</v>
      </c>
      <c r="E61" s="8" t="s">
        <v>43</v>
      </c>
      <c r="F61" s="8" t="s">
        <v>147</v>
      </c>
      <c r="G61" s="9" t="n">
        <v>226.61</v>
      </c>
      <c r="H61" s="9" t="n">
        <v>144.69</v>
      </c>
      <c r="I61" s="8" t="n">
        <v>1.6</v>
      </c>
      <c r="J61" s="8" t="s">
        <v>77</v>
      </c>
      <c r="K61" s="8" t="s">
        <v>78</v>
      </c>
    </row>
    <row r="62" customFormat="false" ht="15" hidden="false" customHeight="false" outlineLevel="0" collapsed="false">
      <c r="A62" s="8" t="n">
        <v>100061</v>
      </c>
      <c r="B62" s="8" t="s">
        <v>99</v>
      </c>
      <c r="C62" s="8" t="s">
        <v>100</v>
      </c>
      <c r="D62" s="8" t="s">
        <v>65</v>
      </c>
      <c r="E62" s="8" t="s">
        <v>53</v>
      </c>
      <c r="F62" s="8" t="s">
        <v>148</v>
      </c>
      <c r="G62" s="9" t="n">
        <v>59.05</v>
      </c>
      <c r="H62" s="9" t="n">
        <v>43.1</v>
      </c>
      <c r="I62" s="8" t="n">
        <v>0.5</v>
      </c>
      <c r="J62" s="8" t="s">
        <v>77</v>
      </c>
      <c r="K62" s="8" t="s">
        <v>78</v>
      </c>
    </row>
    <row r="63" customFormat="false" ht="15" hidden="false" customHeight="false" outlineLevel="0" collapsed="false">
      <c r="A63" s="8" t="n">
        <v>100062</v>
      </c>
      <c r="B63" s="8" t="s">
        <v>99</v>
      </c>
      <c r="C63" s="8" t="s">
        <v>100</v>
      </c>
      <c r="D63" s="8" t="s">
        <v>63</v>
      </c>
      <c r="E63" s="8" t="s">
        <v>43</v>
      </c>
      <c r="F63" s="8" t="s">
        <v>107</v>
      </c>
      <c r="G63" s="9" t="n">
        <v>183.35</v>
      </c>
      <c r="H63" s="9" t="n">
        <v>95.63</v>
      </c>
      <c r="I63" s="8" t="n">
        <v>1.6</v>
      </c>
      <c r="J63" s="8" t="s">
        <v>77</v>
      </c>
      <c r="K63" s="8" t="s">
        <v>78</v>
      </c>
    </row>
    <row r="64" customFormat="false" ht="15" hidden="false" customHeight="false" outlineLevel="0" collapsed="false">
      <c r="A64" s="8" t="n">
        <v>100063</v>
      </c>
      <c r="B64" s="8" t="s">
        <v>104</v>
      </c>
      <c r="C64" s="8" t="s">
        <v>86</v>
      </c>
      <c r="D64" s="8" t="s">
        <v>64</v>
      </c>
      <c r="E64" s="8" t="s">
        <v>39</v>
      </c>
      <c r="F64" s="8" t="s">
        <v>149</v>
      </c>
      <c r="G64" s="9" t="n">
        <v>242.73</v>
      </c>
      <c r="H64" s="9" t="n">
        <v>168.89</v>
      </c>
      <c r="I64" s="8" t="n">
        <v>1.92</v>
      </c>
      <c r="J64" s="8" t="s">
        <v>77</v>
      </c>
      <c r="K64" s="8" t="s">
        <v>78</v>
      </c>
    </row>
    <row r="65" customFormat="false" ht="15" hidden="false" customHeight="false" outlineLevel="0" collapsed="false">
      <c r="A65" s="8" t="n">
        <v>100064</v>
      </c>
      <c r="B65" s="8" t="s">
        <v>93</v>
      </c>
      <c r="C65" s="8" t="s">
        <v>83</v>
      </c>
      <c r="D65" s="8" t="s">
        <v>62</v>
      </c>
      <c r="E65" s="8" t="s">
        <v>43</v>
      </c>
      <c r="F65" s="8" t="s">
        <v>150</v>
      </c>
      <c r="G65" s="9" t="n">
        <v>97.86</v>
      </c>
      <c r="H65" s="9" t="n">
        <v>73.62</v>
      </c>
      <c r="I65" s="8" t="n">
        <v>1.6</v>
      </c>
      <c r="J65" s="8" t="s">
        <v>77</v>
      </c>
      <c r="K65" s="8" t="s">
        <v>78</v>
      </c>
    </row>
    <row r="66" customFormat="false" ht="15" hidden="false" customHeight="false" outlineLevel="0" collapsed="false">
      <c r="A66" s="8" t="n">
        <v>100065</v>
      </c>
      <c r="B66" s="8" t="s">
        <v>99</v>
      </c>
      <c r="C66" s="8" t="s">
        <v>100</v>
      </c>
      <c r="D66" s="8" t="s">
        <v>64</v>
      </c>
      <c r="E66" s="8" t="s">
        <v>37</v>
      </c>
      <c r="F66" s="8" t="s">
        <v>151</v>
      </c>
      <c r="G66" s="9" t="n">
        <v>146.68</v>
      </c>
      <c r="H66" s="9" t="n">
        <v>134.24</v>
      </c>
      <c r="I66" s="8" t="n">
        <v>1.3</v>
      </c>
      <c r="J66" s="8" t="s">
        <v>77</v>
      </c>
      <c r="K66" s="8" t="s">
        <v>78</v>
      </c>
    </row>
    <row r="67" customFormat="false" ht="15" hidden="false" customHeight="false" outlineLevel="0" collapsed="false">
      <c r="A67" s="8" t="n">
        <v>100066</v>
      </c>
      <c r="B67" s="8" t="s">
        <v>79</v>
      </c>
      <c r="C67" s="8" t="s">
        <v>80</v>
      </c>
      <c r="D67" s="8" t="s">
        <v>64</v>
      </c>
      <c r="E67" s="8" t="s">
        <v>37</v>
      </c>
      <c r="F67" s="8" t="s">
        <v>81</v>
      </c>
      <c r="G67" s="9" t="n">
        <v>185.76</v>
      </c>
      <c r="H67" s="9" t="n">
        <v>120.77</v>
      </c>
      <c r="I67" s="8" t="n">
        <v>1.3</v>
      </c>
      <c r="J67" s="8" t="s">
        <v>77</v>
      </c>
      <c r="K67" s="8" t="s">
        <v>78</v>
      </c>
    </row>
    <row r="68" customFormat="false" ht="15" hidden="false" customHeight="false" outlineLevel="0" collapsed="false">
      <c r="A68" s="8" t="n">
        <v>100067</v>
      </c>
      <c r="B68" s="8" t="s">
        <v>82</v>
      </c>
      <c r="C68" s="8" t="s">
        <v>83</v>
      </c>
      <c r="D68" s="8" t="s">
        <v>64</v>
      </c>
      <c r="E68" s="8" t="s">
        <v>43</v>
      </c>
      <c r="F68" s="8" t="s">
        <v>152</v>
      </c>
      <c r="G68" s="9" t="n">
        <v>184.56</v>
      </c>
      <c r="H68" s="9" t="n">
        <v>146.47</v>
      </c>
      <c r="I68" s="8" t="n">
        <v>1.6</v>
      </c>
      <c r="J68" s="8" t="s">
        <v>77</v>
      </c>
      <c r="K68" s="8" t="s">
        <v>78</v>
      </c>
    </row>
    <row r="69" customFormat="false" ht="15" hidden="false" customHeight="false" outlineLevel="0" collapsed="false">
      <c r="A69" s="8" t="n">
        <v>100068</v>
      </c>
      <c r="B69" s="8" t="s">
        <v>93</v>
      </c>
      <c r="C69" s="8" t="s">
        <v>83</v>
      </c>
      <c r="D69" s="8" t="s">
        <v>64</v>
      </c>
      <c r="E69" s="8" t="s">
        <v>41</v>
      </c>
      <c r="F69" s="8" t="s">
        <v>153</v>
      </c>
      <c r="G69" s="9" t="n">
        <v>375.55</v>
      </c>
      <c r="H69" s="9" t="n">
        <v>268.75</v>
      </c>
      <c r="I69" s="8" t="n">
        <v>2.8</v>
      </c>
      <c r="J69" s="8" t="s">
        <v>77</v>
      </c>
      <c r="K69" s="8" t="s">
        <v>78</v>
      </c>
    </row>
    <row r="70" customFormat="false" ht="15" hidden="false" customHeight="false" outlineLevel="0" collapsed="false">
      <c r="A70" s="8" t="n">
        <v>100069</v>
      </c>
      <c r="B70" s="8" t="s">
        <v>74</v>
      </c>
      <c r="C70" s="8" t="s">
        <v>75</v>
      </c>
      <c r="D70" s="8" t="s">
        <v>64</v>
      </c>
      <c r="E70" s="8" t="s">
        <v>41</v>
      </c>
      <c r="F70" s="8" t="s">
        <v>91</v>
      </c>
      <c r="G70" s="9" t="n">
        <v>363.46</v>
      </c>
      <c r="H70" s="9" t="n">
        <v>233.56</v>
      </c>
      <c r="I70" s="8" t="n">
        <v>2.8</v>
      </c>
      <c r="J70" s="8" t="s">
        <v>77</v>
      </c>
      <c r="K70" s="8" t="s">
        <v>78</v>
      </c>
    </row>
    <row r="71" customFormat="false" ht="15" hidden="false" customHeight="false" outlineLevel="0" collapsed="false">
      <c r="A71" s="8" t="n">
        <v>100070</v>
      </c>
      <c r="B71" s="8" t="s">
        <v>85</v>
      </c>
      <c r="C71" s="8" t="s">
        <v>86</v>
      </c>
      <c r="D71" s="8" t="s">
        <v>63</v>
      </c>
      <c r="E71" s="8" t="s">
        <v>49</v>
      </c>
      <c r="F71" s="8" t="s">
        <v>154</v>
      </c>
      <c r="G71" s="9" t="n">
        <v>16.58</v>
      </c>
      <c r="H71" s="9" t="n">
        <v>0</v>
      </c>
      <c r="I71" s="8" t="n">
        <v>0.18</v>
      </c>
      <c r="J71" s="8" t="s">
        <v>116</v>
      </c>
      <c r="K71" s="8" t="s">
        <v>155</v>
      </c>
    </row>
    <row r="72" customFormat="false" ht="15" hidden="false" customHeight="false" outlineLevel="0" collapsed="false">
      <c r="A72" s="8" t="n">
        <v>100071</v>
      </c>
      <c r="B72" s="8" t="s">
        <v>74</v>
      </c>
      <c r="C72" s="8" t="s">
        <v>75</v>
      </c>
      <c r="D72" s="8" t="s">
        <v>64</v>
      </c>
      <c r="E72" s="8" t="s">
        <v>37</v>
      </c>
      <c r="F72" s="8" t="s">
        <v>89</v>
      </c>
      <c r="G72" s="9" t="n">
        <v>175.47</v>
      </c>
      <c r="H72" s="9" t="n">
        <v>127.87</v>
      </c>
      <c r="I72" s="8" t="n">
        <v>1.3</v>
      </c>
      <c r="J72" s="8" t="s">
        <v>77</v>
      </c>
      <c r="K72" s="8" t="s">
        <v>78</v>
      </c>
    </row>
    <row r="73" customFormat="false" ht="15" hidden="false" customHeight="false" outlineLevel="0" collapsed="false">
      <c r="A73" s="8" t="n">
        <v>100072</v>
      </c>
      <c r="B73" s="8" t="s">
        <v>90</v>
      </c>
      <c r="C73" s="8" t="s">
        <v>75</v>
      </c>
      <c r="D73" s="8" t="s">
        <v>61</v>
      </c>
      <c r="E73" s="8" t="s">
        <v>43</v>
      </c>
      <c r="F73" s="8" t="s">
        <v>156</v>
      </c>
      <c r="G73" s="9" t="n">
        <v>138.85</v>
      </c>
      <c r="H73" s="9" t="n">
        <v>109.49</v>
      </c>
      <c r="I73" s="8" t="n">
        <v>1.6</v>
      </c>
      <c r="J73" s="8" t="s">
        <v>77</v>
      </c>
      <c r="K73" s="8" t="s">
        <v>78</v>
      </c>
    </row>
    <row r="74" customFormat="false" ht="15" hidden="false" customHeight="false" outlineLevel="0" collapsed="false">
      <c r="A74" s="8" t="n">
        <v>100073</v>
      </c>
      <c r="B74" s="8" t="s">
        <v>82</v>
      </c>
      <c r="C74" s="8" t="s">
        <v>83</v>
      </c>
      <c r="D74" s="8" t="s">
        <v>64</v>
      </c>
      <c r="E74" s="8" t="s">
        <v>45</v>
      </c>
      <c r="F74" s="8" t="s">
        <v>156</v>
      </c>
      <c r="G74" s="9" t="n">
        <v>343.87</v>
      </c>
      <c r="H74" s="9" t="n">
        <v>233.42</v>
      </c>
      <c r="I74" s="8" t="n">
        <v>2.6</v>
      </c>
      <c r="J74" s="8" t="s">
        <v>77</v>
      </c>
      <c r="K74" s="8" t="s">
        <v>78</v>
      </c>
    </row>
    <row r="75" customFormat="false" ht="15" hidden="false" customHeight="false" outlineLevel="0" collapsed="false">
      <c r="A75" s="8" t="n">
        <v>100074</v>
      </c>
      <c r="B75" s="8" t="s">
        <v>93</v>
      </c>
      <c r="C75" s="8" t="s">
        <v>83</v>
      </c>
      <c r="D75" s="8" t="s">
        <v>63</v>
      </c>
      <c r="E75" s="8" t="s">
        <v>39</v>
      </c>
      <c r="F75" s="8" t="s">
        <v>157</v>
      </c>
      <c r="G75" s="9" t="n">
        <v>193.23</v>
      </c>
      <c r="H75" s="9" t="n">
        <v>0</v>
      </c>
      <c r="I75" s="8" t="n">
        <v>1.92</v>
      </c>
      <c r="J75" s="8" t="s">
        <v>116</v>
      </c>
      <c r="K75" s="8" t="s">
        <v>120</v>
      </c>
    </row>
    <row r="76" customFormat="false" ht="15" hidden="false" customHeight="false" outlineLevel="0" collapsed="false">
      <c r="A76" s="8" t="n">
        <v>100075</v>
      </c>
      <c r="B76" s="8" t="s">
        <v>79</v>
      </c>
      <c r="C76" s="8" t="s">
        <v>80</v>
      </c>
      <c r="D76" s="8" t="s">
        <v>62</v>
      </c>
      <c r="E76" s="8" t="s">
        <v>39</v>
      </c>
      <c r="F76" s="8" t="s">
        <v>158</v>
      </c>
      <c r="G76" s="9" t="n">
        <v>118.98</v>
      </c>
      <c r="H76" s="9" t="n">
        <v>84.99</v>
      </c>
      <c r="I76" s="8" t="n">
        <v>1.92</v>
      </c>
      <c r="J76" s="8" t="s">
        <v>77</v>
      </c>
      <c r="K76" s="8" t="s">
        <v>78</v>
      </c>
    </row>
    <row r="77" customFormat="false" ht="15" hidden="false" customHeight="false" outlineLevel="0" collapsed="false">
      <c r="A77" s="8" t="n">
        <v>100076</v>
      </c>
      <c r="B77" s="8" t="s">
        <v>74</v>
      </c>
      <c r="C77" s="8" t="s">
        <v>75</v>
      </c>
      <c r="D77" s="8" t="s">
        <v>65</v>
      </c>
      <c r="E77" s="8" t="s">
        <v>37</v>
      </c>
      <c r="F77" s="8" t="s">
        <v>159</v>
      </c>
      <c r="G77" s="9" t="n">
        <v>154.14</v>
      </c>
      <c r="H77" s="9" t="n">
        <v>118.04</v>
      </c>
      <c r="I77" s="8" t="n">
        <v>1.3</v>
      </c>
      <c r="J77" s="8" t="s">
        <v>77</v>
      </c>
      <c r="K77" s="8" t="s">
        <v>78</v>
      </c>
    </row>
    <row r="78" customFormat="false" ht="15" hidden="false" customHeight="false" outlineLevel="0" collapsed="false">
      <c r="A78" s="8" t="n">
        <v>100077</v>
      </c>
      <c r="B78" s="8" t="s">
        <v>90</v>
      </c>
      <c r="C78" s="8" t="s">
        <v>75</v>
      </c>
      <c r="D78" s="8" t="s">
        <v>64</v>
      </c>
      <c r="E78" s="8" t="s">
        <v>51</v>
      </c>
      <c r="F78" s="8" t="s">
        <v>160</v>
      </c>
      <c r="G78" s="9" t="n">
        <v>32.33</v>
      </c>
      <c r="H78" s="9" t="n">
        <v>0</v>
      </c>
      <c r="I78" s="8" t="n">
        <v>0.3</v>
      </c>
      <c r="J78" s="8" t="s">
        <v>116</v>
      </c>
      <c r="K78" s="8" t="s">
        <v>155</v>
      </c>
    </row>
    <row r="79" customFormat="false" ht="15" hidden="false" customHeight="false" outlineLevel="0" collapsed="false">
      <c r="A79" s="8" t="n">
        <v>100078</v>
      </c>
      <c r="B79" s="8" t="s">
        <v>79</v>
      </c>
      <c r="C79" s="8" t="s">
        <v>80</v>
      </c>
      <c r="D79" s="8" t="s">
        <v>62</v>
      </c>
      <c r="E79" s="8" t="s">
        <v>53</v>
      </c>
      <c r="F79" s="8" t="s">
        <v>161</v>
      </c>
      <c r="G79" s="9" t="n">
        <v>34.86</v>
      </c>
      <c r="H79" s="9" t="n">
        <v>17.77</v>
      </c>
      <c r="I79" s="8" t="n">
        <v>0.5</v>
      </c>
      <c r="J79" s="8" t="s">
        <v>77</v>
      </c>
      <c r="K79" s="8" t="s">
        <v>78</v>
      </c>
    </row>
    <row r="80" customFormat="false" ht="15" hidden="false" customHeight="false" outlineLevel="0" collapsed="false">
      <c r="A80" s="8" t="n">
        <v>100079</v>
      </c>
      <c r="B80" s="8" t="s">
        <v>99</v>
      </c>
      <c r="C80" s="8" t="s">
        <v>100</v>
      </c>
      <c r="D80" s="8" t="s">
        <v>64</v>
      </c>
      <c r="E80" s="8" t="s">
        <v>55</v>
      </c>
      <c r="F80" s="8" t="s">
        <v>162</v>
      </c>
      <c r="G80" s="9" t="n">
        <v>78.79</v>
      </c>
      <c r="H80" s="9" t="n">
        <v>44.47</v>
      </c>
      <c r="I80" s="8" t="n">
        <v>0.7</v>
      </c>
      <c r="J80" s="8" t="s">
        <v>77</v>
      </c>
      <c r="K80" s="8" t="s">
        <v>78</v>
      </c>
    </row>
    <row r="81" customFormat="false" ht="15" hidden="false" customHeight="false" outlineLevel="0" collapsed="false">
      <c r="A81" s="8" t="n">
        <v>100080</v>
      </c>
      <c r="B81" s="8" t="s">
        <v>82</v>
      </c>
      <c r="C81" s="8" t="s">
        <v>83</v>
      </c>
      <c r="D81" s="8" t="s">
        <v>64</v>
      </c>
      <c r="E81" s="8" t="s">
        <v>55</v>
      </c>
      <c r="F81" s="8" t="s">
        <v>163</v>
      </c>
      <c r="G81" s="9" t="n">
        <v>88.33</v>
      </c>
      <c r="H81" s="9" t="n">
        <v>63.31</v>
      </c>
      <c r="I81" s="8" t="n">
        <v>0.7</v>
      </c>
      <c r="J81" s="8" t="s">
        <v>77</v>
      </c>
      <c r="K81" s="8" t="s">
        <v>78</v>
      </c>
    </row>
    <row r="82" customFormat="false" ht="15" hidden="false" customHeight="false" outlineLevel="0" collapsed="false">
      <c r="A82" s="8" t="n">
        <v>100081</v>
      </c>
      <c r="B82" s="8" t="s">
        <v>99</v>
      </c>
      <c r="C82" s="8" t="s">
        <v>100</v>
      </c>
      <c r="D82" s="8" t="s">
        <v>62</v>
      </c>
      <c r="E82" s="8" t="s">
        <v>47</v>
      </c>
      <c r="F82" s="8" t="s">
        <v>164</v>
      </c>
      <c r="G82" s="9" t="n">
        <v>144.87</v>
      </c>
      <c r="H82" s="9" t="n">
        <v>110.9</v>
      </c>
      <c r="I82" s="8" t="n">
        <v>2.1</v>
      </c>
      <c r="J82" s="8" t="s">
        <v>77</v>
      </c>
      <c r="K82" s="8" t="s">
        <v>78</v>
      </c>
    </row>
    <row r="83" customFormat="false" ht="15" hidden="false" customHeight="false" outlineLevel="0" collapsed="false">
      <c r="A83" s="8" t="n">
        <v>100082</v>
      </c>
      <c r="B83" s="8" t="s">
        <v>90</v>
      </c>
      <c r="C83" s="8" t="s">
        <v>75</v>
      </c>
      <c r="D83" s="8" t="s">
        <v>65</v>
      </c>
      <c r="E83" s="8" t="s">
        <v>43</v>
      </c>
      <c r="F83" s="8" t="s">
        <v>148</v>
      </c>
      <c r="G83" s="9" t="n">
        <v>172.34</v>
      </c>
      <c r="H83" s="9" t="n">
        <v>147.25</v>
      </c>
      <c r="I83" s="8" t="n">
        <v>1.6</v>
      </c>
      <c r="J83" s="8" t="s">
        <v>77</v>
      </c>
      <c r="K83" s="8" t="s">
        <v>78</v>
      </c>
    </row>
    <row r="84" customFormat="false" ht="15" hidden="false" customHeight="false" outlineLevel="0" collapsed="false">
      <c r="A84" s="8" t="n">
        <v>100083</v>
      </c>
      <c r="B84" s="8" t="s">
        <v>99</v>
      </c>
      <c r="C84" s="8" t="s">
        <v>100</v>
      </c>
      <c r="D84" s="8" t="s">
        <v>64</v>
      </c>
      <c r="E84" s="8" t="s">
        <v>37</v>
      </c>
      <c r="F84" s="8" t="s">
        <v>165</v>
      </c>
      <c r="G84" s="9" t="n">
        <v>140.64</v>
      </c>
      <c r="H84" s="9" t="n">
        <v>89.83</v>
      </c>
      <c r="I84" s="8" t="n">
        <v>1.3</v>
      </c>
      <c r="J84" s="8" t="s">
        <v>77</v>
      </c>
      <c r="K84" s="8" t="s">
        <v>78</v>
      </c>
    </row>
    <row r="85" customFormat="false" ht="15" hidden="false" customHeight="false" outlineLevel="0" collapsed="false">
      <c r="A85" s="8" t="n">
        <v>100084</v>
      </c>
      <c r="B85" s="8" t="s">
        <v>99</v>
      </c>
      <c r="C85" s="8" t="s">
        <v>100</v>
      </c>
      <c r="D85" s="8" t="s">
        <v>65</v>
      </c>
      <c r="E85" s="8" t="s">
        <v>53</v>
      </c>
      <c r="F85" s="8" t="s">
        <v>150</v>
      </c>
      <c r="G85" s="9" t="n">
        <v>57.41</v>
      </c>
      <c r="H85" s="9" t="n">
        <v>0</v>
      </c>
      <c r="I85" s="8" t="n">
        <v>0.5</v>
      </c>
      <c r="J85" s="8" t="s">
        <v>98</v>
      </c>
      <c r="K85" s="8" t="s">
        <v>78</v>
      </c>
    </row>
    <row r="86" customFormat="false" ht="15" hidden="false" customHeight="false" outlineLevel="0" collapsed="false">
      <c r="A86" s="8" t="n">
        <v>100085</v>
      </c>
      <c r="B86" s="8" t="s">
        <v>85</v>
      </c>
      <c r="C86" s="8" t="s">
        <v>86</v>
      </c>
      <c r="D86" s="8" t="s">
        <v>64</v>
      </c>
      <c r="E86" s="8" t="s">
        <v>45</v>
      </c>
      <c r="F86" s="8" t="s">
        <v>166</v>
      </c>
      <c r="G86" s="9" t="n">
        <v>296.24</v>
      </c>
      <c r="H86" s="9" t="n">
        <v>175.52</v>
      </c>
      <c r="I86" s="8" t="n">
        <v>2.6</v>
      </c>
      <c r="J86" s="8" t="s">
        <v>77</v>
      </c>
      <c r="K86" s="8" t="s">
        <v>78</v>
      </c>
    </row>
    <row r="87" customFormat="false" ht="15" hidden="false" customHeight="false" outlineLevel="0" collapsed="false">
      <c r="A87" s="8" t="n">
        <v>100086</v>
      </c>
      <c r="B87" s="8" t="s">
        <v>82</v>
      </c>
      <c r="C87" s="8" t="s">
        <v>83</v>
      </c>
      <c r="D87" s="8" t="s">
        <v>62</v>
      </c>
      <c r="E87" s="8" t="s">
        <v>51</v>
      </c>
      <c r="F87" s="8" t="s">
        <v>167</v>
      </c>
      <c r="G87" s="9" t="n">
        <v>17.84</v>
      </c>
      <c r="H87" s="9" t="n">
        <v>11.47</v>
      </c>
      <c r="I87" s="8" t="n">
        <v>0.3</v>
      </c>
      <c r="J87" s="8" t="s">
        <v>77</v>
      </c>
      <c r="K87" s="8" t="s">
        <v>78</v>
      </c>
    </row>
    <row r="88" customFormat="false" ht="15" hidden="false" customHeight="false" outlineLevel="0" collapsed="false">
      <c r="A88" s="8" t="n">
        <v>100087</v>
      </c>
      <c r="B88" s="8" t="s">
        <v>82</v>
      </c>
      <c r="C88" s="8" t="s">
        <v>83</v>
      </c>
      <c r="D88" s="8" t="s">
        <v>63</v>
      </c>
      <c r="E88" s="8" t="s">
        <v>43</v>
      </c>
      <c r="F88" s="8" t="s">
        <v>168</v>
      </c>
      <c r="G88" s="9" t="n">
        <v>157.49</v>
      </c>
      <c r="H88" s="9" t="n">
        <v>87.04</v>
      </c>
      <c r="I88" s="8" t="n">
        <v>1.6</v>
      </c>
      <c r="J88" s="8" t="s">
        <v>77</v>
      </c>
      <c r="K88" s="8" t="s">
        <v>78</v>
      </c>
    </row>
    <row r="89" customFormat="false" ht="15" hidden="false" customHeight="false" outlineLevel="0" collapsed="false">
      <c r="A89" s="8" t="n">
        <v>100088</v>
      </c>
      <c r="B89" s="8" t="s">
        <v>90</v>
      </c>
      <c r="C89" s="8" t="s">
        <v>75</v>
      </c>
      <c r="D89" s="8" t="s">
        <v>65</v>
      </c>
      <c r="E89" s="8" t="s">
        <v>45</v>
      </c>
      <c r="F89" s="8" t="s">
        <v>169</v>
      </c>
      <c r="G89" s="9" t="n">
        <v>336.68</v>
      </c>
      <c r="H89" s="9" t="n">
        <v>258.44</v>
      </c>
      <c r="I89" s="8" t="n">
        <v>2.6</v>
      </c>
      <c r="J89" s="8" t="s">
        <v>77</v>
      </c>
      <c r="K89" s="8" t="s">
        <v>78</v>
      </c>
    </row>
    <row r="90" customFormat="false" ht="15" hidden="false" customHeight="false" outlineLevel="0" collapsed="false">
      <c r="A90" s="8" t="n">
        <v>100089</v>
      </c>
      <c r="B90" s="8" t="s">
        <v>104</v>
      </c>
      <c r="C90" s="8" t="s">
        <v>86</v>
      </c>
      <c r="D90" s="8" t="s">
        <v>64</v>
      </c>
      <c r="E90" s="8" t="s">
        <v>51</v>
      </c>
      <c r="F90" s="8" t="s">
        <v>170</v>
      </c>
      <c r="G90" s="9" t="n">
        <v>36.4</v>
      </c>
      <c r="H90" s="9" t="n">
        <v>27.71</v>
      </c>
      <c r="I90" s="8" t="n">
        <v>0.3</v>
      </c>
      <c r="J90" s="8" t="s">
        <v>77</v>
      </c>
      <c r="K90" s="8" t="s">
        <v>78</v>
      </c>
    </row>
    <row r="91" customFormat="false" ht="15" hidden="false" customHeight="false" outlineLevel="0" collapsed="false">
      <c r="A91" s="8" t="n">
        <v>100090</v>
      </c>
      <c r="B91" s="8" t="s">
        <v>74</v>
      </c>
      <c r="C91" s="8" t="s">
        <v>75</v>
      </c>
      <c r="D91" s="8" t="s">
        <v>61</v>
      </c>
      <c r="E91" s="8" t="s">
        <v>49</v>
      </c>
      <c r="F91" s="8" t="s">
        <v>171</v>
      </c>
      <c r="G91" s="9" t="n">
        <v>16.46</v>
      </c>
      <c r="H91" s="9" t="n">
        <v>8.76</v>
      </c>
      <c r="I91" s="8" t="n">
        <v>0.18</v>
      </c>
      <c r="J91" s="8" t="s">
        <v>77</v>
      </c>
      <c r="K91" s="8" t="s">
        <v>78</v>
      </c>
    </row>
    <row r="92" customFormat="false" ht="15" hidden="false" customHeight="false" outlineLevel="0" collapsed="false">
      <c r="A92" s="8" t="n">
        <v>100091</v>
      </c>
      <c r="B92" s="8" t="s">
        <v>74</v>
      </c>
      <c r="C92" s="8" t="s">
        <v>75</v>
      </c>
      <c r="D92" s="8" t="s">
        <v>62</v>
      </c>
      <c r="E92" s="8" t="s">
        <v>39</v>
      </c>
      <c r="F92" s="8" t="s">
        <v>172</v>
      </c>
      <c r="G92" s="9" t="n">
        <v>117.7</v>
      </c>
      <c r="H92" s="9" t="n">
        <v>84.6</v>
      </c>
      <c r="I92" s="8" t="n">
        <v>1.92</v>
      </c>
      <c r="J92" s="8" t="s">
        <v>77</v>
      </c>
      <c r="K92" s="8" t="s">
        <v>78</v>
      </c>
    </row>
    <row r="93" customFormat="false" ht="15" hidden="false" customHeight="false" outlineLevel="0" collapsed="false">
      <c r="A93" s="8" t="n">
        <v>100092</v>
      </c>
      <c r="B93" s="8" t="s">
        <v>79</v>
      </c>
      <c r="C93" s="8" t="s">
        <v>80</v>
      </c>
      <c r="D93" s="8" t="s">
        <v>64</v>
      </c>
      <c r="E93" s="8" t="s">
        <v>51</v>
      </c>
      <c r="F93" s="8" t="s">
        <v>173</v>
      </c>
      <c r="G93" s="9" t="n">
        <v>34.66</v>
      </c>
      <c r="H93" s="9" t="n">
        <v>27.11</v>
      </c>
      <c r="I93" s="8" t="n">
        <v>0.3</v>
      </c>
      <c r="J93" s="8" t="s">
        <v>77</v>
      </c>
      <c r="K93" s="8" t="s">
        <v>78</v>
      </c>
    </row>
    <row r="94" customFormat="false" ht="15" hidden="false" customHeight="false" outlineLevel="0" collapsed="false">
      <c r="A94" s="8" t="n">
        <v>100093</v>
      </c>
      <c r="B94" s="8" t="s">
        <v>74</v>
      </c>
      <c r="C94" s="8" t="s">
        <v>75</v>
      </c>
      <c r="D94" s="8" t="s">
        <v>62</v>
      </c>
      <c r="E94" s="8" t="s">
        <v>43</v>
      </c>
      <c r="F94" s="8" t="s">
        <v>174</v>
      </c>
      <c r="G94" s="9" t="n">
        <v>93.91</v>
      </c>
      <c r="H94" s="9" t="n">
        <v>74.23</v>
      </c>
      <c r="I94" s="8" t="n">
        <v>1.6</v>
      </c>
      <c r="J94" s="8" t="s">
        <v>77</v>
      </c>
      <c r="K94" s="8" t="s">
        <v>78</v>
      </c>
    </row>
    <row r="95" customFormat="false" ht="15" hidden="false" customHeight="false" outlineLevel="0" collapsed="false">
      <c r="A95" s="8" t="n">
        <v>100094</v>
      </c>
      <c r="B95" s="8" t="s">
        <v>90</v>
      </c>
      <c r="C95" s="8" t="s">
        <v>75</v>
      </c>
      <c r="D95" s="8" t="s">
        <v>64</v>
      </c>
      <c r="E95" s="8" t="s">
        <v>51</v>
      </c>
      <c r="F95" s="8" t="s">
        <v>128</v>
      </c>
      <c r="G95" s="9" t="n">
        <v>39.43</v>
      </c>
      <c r="H95" s="9" t="n">
        <v>26.66</v>
      </c>
      <c r="I95" s="8" t="n">
        <v>0.3</v>
      </c>
      <c r="J95" s="8" t="s">
        <v>77</v>
      </c>
      <c r="K95" s="8" t="s">
        <v>78</v>
      </c>
    </row>
    <row r="96" customFormat="false" ht="15" hidden="false" customHeight="false" outlineLevel="0" collapsed="false">
      <c r="A96" s="8" t="n">
        <v>100095</v>
      </c>
      <c r="B96" s="8" t="s">
        <v>99</v>
      </c>
      <c r="C96" s="8" t="s">
        <v>100</v>
      </c>
      <c r="D96" s="8" t="s">
        <v>61</v>
      </c>
      <c r="E96" s="8" t="s">
        <v>43</v>
      </c>
      <c r="F96" s="8" t="s">
        <v>175</v>
      </c>
      <c r="G96" s="9" t="n">
        <v>175.37</v>
      </c>
      <c r="H96" s="9" t="n">
        <v>113.08</v>
      </c>
      <c r="I96" s="8" t="n">
        <v>1.6</v>
      </c>
      <c r="J96" s="8" t="s">
        <v>77</v>
      </c>
      <c r="K96" s="8" t="s">
        <v>78</v>
      </c>
    </row>
    <row r="97" customFormat="false" ht="15" hidden="false" customHeight="false" outlineLevel="0" collapsed="false">
      <c r="A97" s="8" t="n">
        <v>100096</v>
      </c>
      <c r="B97" s="8" t="s">
        <v>79</v>
      </c>
      <c r="C97" s="8" t="s">
        <v>80</v>
      </c>
      <c r="D97" s="8" t="s">
        <v>61</v>
      </c>
      <c r="E97" s="8" t="s">
        <v>53</v>
      </c>
      <c r="F97" s="8" t="s">
        <v>173</v>
      </c>
      <c r="G97" s="9" t="n">
        <v>42.54</v>
      </c>
      <c r="H97" s="9" t="n">
        <v>33.27</v>
      </c>
      <c r="I97" s="8" t="n">
        <v>0.5</v>
      </c>
      <c r="J97" s="8" t="s">
        <v>77</v>
      </c>
      <c r="K97" s="8" t="s">
        <v>78</v>
      </c>
    </row>
    <row r="98" customFormat="false" ht="15" hidden="false" customHeight="false" outlineLevel="0" collapsed="false">
      <c r="A98" s="8" t="n">
        <v>100097</v>
      </c>
      <c r="B98" s="8" t="s">
        <v>93</v>
      </c>
      <c r="C98" s="8" t="s">
        <v>83</v>
      </c>
      <c r="D98" s="8" t="s">
        <v>63</v>
      </c>
      <c r="E98" s="8" t="s">
        <v>55</v>
      </c>
      <c r="F98" s="8" t="s">
        <v>171</v>
      </c>
      <c r="G98" s="9" t="n">
        <v>75.84</v>
      </c>
      <c r="H98" s="9" t="n">
        <v>49.85</v>
      </c>
      <c r="I98" s="8" t="n">
        <v>0.7</v>
      </c>
      <c r="J98" s="8" t="s">
        <v>77</v>
      </c>
      <c r="K98" s="8" t="s">
        <v>78</v>
      </c>
    </row>
    <row r="99" customFormat="false" ht="15" hidden="false" customHeight="false" outlineLevel="0" collapsed="false">
      <c r="A99" s="8" t="n">
        <v>100098</v>
      </c>
      <c r="B99" s="8" t="s">
        <v>79</v>
      </c>
      <c r="C99" s="8" t="s">
        <v>80</v>
      </c>
      <c r="D99" s="8" t="s">
        <v>63</v>
      </c>
      <c r="E99" s="8" t="s">
        <v>53</v>
      </c>
      <c r="F99" s="8" t="s">
        <v>176</v>
      </c>
      <c r="G99" s="9" t="n">
        <v>50.15</v>
      </c>
      <c r="H99" s="9" t="n">
        <v>36.84</v>
      </c>
      <c r="I99" s="8" t="n">
        <v>0.5</v>
      </c>
      <c r="J99" s="8" t="s">
        <v>77</v>
      </c>
      <c r="K99" s="8" t="s">
        <v>78</v>
      </c>
    </row>
    <row r="100" customFormat="false" ht="15" hidden="false" customHeight="false" outlineLevel="0" collapsed="false">
      <c r="A100" s="8" t="n">
        <v>100099</v>
      </c>
      <c r="B100" s="8" t="s">
        <v>104</v>
      </c>
      <c r="C100" s="8" t="s">
        <v>86</v>
      </c>
      <c r="D100" s="8" t="s">
        <v>61</v>
      </c>
      <c r="E100" s="8" t="s">
        <v>39</v>
      </c>
      <c r="F100" s="8" t="s">
        <v>151</v>
      </c>
      <c r="G100" s="9" t="n">
        <v>160.39</v>
      </c>
      <c r="H100" s="9" t="n">
        <v>145.67</v>
      </c>
      <c r="I100" s="8" t="n">
        <v>1.92</v>
      </c>
      <c r="J100" s="8" t="s">
        <v>77</v>
      </c>
      <c r="K100" s="8" t="s">
        <v>78</v>
      </c>
    </row>
    <row r="101" customFormat="false" ht="15" hidden="false" customHeight="false" outlineLevel="0" collapsed="false">
      <c r="A101" s="8" t="n">
        <v>100100</v>
      </c>
      <c r="B101" s="8" t="s">
        <v>104</v>
      </c>
      <c r="C101" s="8" t="s">
        <v>86</v>
      </c>
      <c r="D101" s="8" t="s">
        <v>65</v>
      </c>
      <c r="E101" s="8" t="s">
        <v>37</v>
      </c>
      <c r="F101" s="8" t="s">
        <v>177</v>
      </c>
      <c r="G101" s="9" t="n">
        <v>176.22</v>
      </c>
      <c r="H101" s="9" t="n">
        <v>117.59</v>
      </c>
      <c r="I101" s="8" t="n">
        <v>1.3</v>
      </c>
      <c r="J101" s="8" t="s">
        <v>77</v>
      </c>
      <c r="K101" s="8" t="s">
        <v>78</v>
      </c>
    </row>
    <row r="102" customFormat="false" ht="15" hidden="false" customHeight="false" outlineLevel="0" collapsed="false">
      <c r="A102" s="8" t="n">
        <v>100101</v>
      </c>
      <c r="B102" s="8" t="s">
        <v>93</v>
      </c>
      <c r="C102" s="8" t="s">
        <v>83</v>
      </c>
      <c r="D102" s="8" t="s">
        <v>65</v>
      </c>
      <c r="E102" s="8" t="s">
        <v>49</v>
      </c>
      <c r="F102" s="8" t="s">
        <v>178</v>
      </c>
      <c r="G102" s="9" t="n">
        <v>22.97</v>
      </c>
      <c r="H102" s="9" t="n">
        <v>15.85</v>
      </c>
      <c r="I102" s="8" t="n">
        <v>0.18</v>
      </c>
      <c r="J102" s="8" t="s">
        <v>77</v>
      </c>
      <c r="K102" s="8" t="s">
        <v>78</v>
      </c>
    </row>
    <row r="103" customFormat="false" ht="15" hidden="false" customHeight="false" outlineLevel="0" collapsed="false">
      <c r="A103" s="8" t="n">
        <v>100102</v>
      </c>
      <c r="B103" s="8" t="s">
        <v>85</v>
      </c>
      <c r="C103" s="8" t="s">
        <v>86</v>
      </c>
      <c r="D103" s="8" t="s">
        <v>61</v>
      </c>
      <c r="E103" s="8" t="s">
        <v>41</v>
      </c>
      <c r="F103" s="8" t="s">
        <v>179</v>
      </c>
      <c r="G103" s="9" t="n">
        <v>237.61</v>
      </c>
      <c r="H103" s="9" t="n">
        <v>187.89</v>
      </c>
      <c r="I103" s="8" t="n">
        <v>2.8</v>
      </c>
      <c r="J103" s="8" t="s">
        <v>77</v>
      </c>
      <c r="K103" s="8" t="s">
        <v>78</v>
      </c>
    </row>
    <row r="104" customFormat="false" ht="15" hidden="false" customHeight="false" outlineLevel="0" collapsed="false">
      <c r="A104" s="8" t="n">
        <v>100103</v>
      </c>
      <c r="B104" s="8" t="s">
        <v>99</v>
      </c>
      <c r="C104" s="8" t="s">
        <v>100</v>
      </c>
      <c r="D104" s="8" t="s">
        <v>61</v>
      </c>
      <c r="E104" s="8" t="s">
        <v>47</v>
      </c>
      <c r="F104" s="8" t="s">
        <v>106</v>
      </c>
      <c r="G104" s="9" t="n">
        <v>183.22</v>
      </c>
      <c r="H104" s="9" t="n">
        <v>126.58</v>
      </c>
      <c r="I104" s="8" t="n">
        <v>2.1</v>
      </c>
      <c r="J104" s="8" t="s">
        <v>77</v>
      </c>
      <c r="K104" s="8" t="s">
        <v>78</v>
      </c>
    </row>
    <row r="105" customFormat="false" ht="15" hidden="false" customHeight="false" outlineLevel="0" collapsed="false">
      <c r="A105" s="8" t="n">
        <v>100104</v>
      </c>
      <c r="B105" s="8" t="s">
        <v>99</v>
      </c>
      <c r="C105" s="8" t="s">
        <v>100</v>
      </c>
      <c r="D105" s="8" t="s">
        <v>64</v>
      </c>
      <c r="E105" s="8" t="s">
        <v>37</v>
      </c>
      <c r="F105" s="8" t="s">
        <v>129</v>
      </c>
      <c r="G105" s="9" t="n">
        <v>145.66</v>
      </c>
      <c r="H105" s="9" t="n">
        <v>97.36</v>
      </c>
      <c r="I105" s="8" t="n">
        <v>1.3</v>
      </c>
      <c r="J105" s="8" t="s">
        <v>77</v>
      </c>
      <c r="K105" s="8" t="s">
        <v>78</v>
      </c>
    </row>
    <row r="106" customFormat="false" ht="15" hidden="false" customHeight="false" outlineLevel="0" collapsed="false">
      <c r="A106" s="8" t="n">
        <v>100105</v>
      </c>
      <c r="B106" s="8" t="s">
        <v>82</v>
      </c>
      <c r="C106" s="8" t="s">
        <v>83</v>
      </c>
      <c r="D106" s="8" t="s">
        <v>63</v>
      </c>
      <c r="E106" s="8" t="s">
        <v>53</v>
      </c>
      <c r="F106" s="8" t="s">
        <v>180</v>
      </c>
      <c r="G106" s="9" t="n">
        <v>43.52</v>
      </c>
      <c r="H106" s="9" t="n">
        <v>40.42</v>
      </c>
      <c r="I106" s="8" t="n">
        <v>0.5</v>
      </c>
      <c r="J106" s="8" t="s">
        <v>77</v>
      </c>
      <c r="K106" s="8" t="s">
        <v>78</v>
      </c>
    </row>
    <row r="107" customFormat="false" ht="15" hidden="false" customHeight="false" outlineLevel="0" collapsed="false">
      <c r="A107" s="8" t="n">
        <v>100106</v>
      </c>
      <c r="B107" s="8" t="s">
        <v>82</v>
      </c>
      <c r="C107" s="8" t="s">
        <v>83</v>
      </c>
      <c r="D107" s="8" t="s">
        <v>62</v>
      </c>
      <c r="E107" s="8" t="s">
        <v>45</v>
      </c>
      <c r="F107" s="8" t="s">
        <v>156</v>
      </c>
      <c r="G107" s="9" t="n">
        <v>164.95</v>
      </c>
      <c r="H107" s="9" t="n">
        <v>121.49</v>
      </c>
      <c r="I107" s="8" t="n">
        <v>2.6</v>
      </c>
      <c r="J107" s="8" t="s">
        <v>77</v>
      </c>
      <c r="K107" s="8" t="s">
        <v>78</v>
      </c>
    </row>
    <row r="108" customFormat="false" ht="15" hidden="false" customHeight="false" outlineLevel="0" collapsed="false">
      <c r="A108" s="8" t="n">
        <v>100107</v>
      </c>
      <c r="B108" s="8" t="s">
        <v>99</v>
      </c>
      <c r="C108" s="8" t="s">
        <v>100</v>
      </c>
      <c r="D108" s="8" t="s">
        <v>61</v>
      </c>
      <c r="E108" s="8" t="s">
        <v>41</v>
      </c>
      <c r="F108" s="8" t="s">
        <v>161</v>
      </c>
      <c r="G108" s="9" t="n">
        <v>251.49</v>
      </c>
      <c r="H108" s="9" t="n">
        <v>180.51</v>
      </c>
      <c r="I108" s="8" t="n">
        <v>2.8</v>
      </c>
      <c r="J108" s="8" t="s">
        <v>77</v>
      </c>
      <c r="K108" s="8" t="s">
        <v>78</v>
      </c>
    </row>
    <row r="109" customFormat="false" ht="15" hidden="false" customHeight="false" outlineLevel="0" collapsed="false">
      <c r="A109" s="8" t="n">
        <v>100108</v>
      </c>
      <c r="B109" s="8" t="s">
        <v>99</v>
      </c>
      <c r="C109" s="8" t="s">
        <v>100</v>
      </c>
      <c r="D109" s="8" t="s">
        <v>62</v>
      </c>
      <c r="E109" s="8" t="s">
        <v>51</v>
      </c>
      <c r="F109" s="8" t="s">
        <v>181</v>
      </c>
      <c r="G109" s="9" t="n">
        <v>19.57</v>
      </c>
      <c r="H109" s="9" t="n">
        <v>15.77</v>
      </c>
      <c r="I109" s="8" t="n">
        <v>0.3</v>
      </c>
      <c r="J109" s="8" t="s">
        <v>77</v>
      </c>
      <c r="K109" s="8" t="s">
        <v>78</v>
      </c>
    </row>
    <row r="110" customFormat="false" ht="15" hidden="false" customHeight="false" outlineLevel="0" collapsed="false">
      <c r="A110" s="8" t="n">
        <v>100109</v>
      </c>
      <c r="B110" s="8" t="s">
        <v>74</v>
      </c>
      <c r="C110" s="8" t="s">
        <v>75</v>
      </c>
      <c r="D110" s="8" t="s">
        <v>63</v>
      </c>
      <c r="E110" s="8" t="s">
        <v>49</v>
      </c>
      <c r="F110" s="8" t="s">
        <v>182</v>
      </c>
      <c r="G110" s="9" t="n">
        <v>16.94</v>
      </c>
      <c r="H110" s="9" t="n">
        <v>12.61</v>
      </c>
      <c r="I110" s="8" t="n">
        <v>0.18</v>
      </c>
      <c r="J110" s="8" t="s">
        <v>77</v>
      </c>
      <c r="K110" s="8" t="s">
        <v>78</v>
      </c>
    </row>
    <row r="111" customFormat="false" ht="15" hidden="false" customHeight="false" outlineLevel="0" collapsed="false">
      <c r="A111" s="8" t="n">
        <v>100110</v>
      </c>
      <c r="B111" s="8" t="s">
        <v>99</v>
      </c>
      <c r="C111" s="8" t="s">
        <v>100</v>
      </c>
      <c r="D111" s="8" t="s">
        <v>62</v>
      </c>
      <c r="E111" s="8" t="s">
        <v>51</v>
      </c>
      <c r="F111" s="8" t="s">
        <v>183</v>
      </c>
      <c r="G111" s="9" t="n">
        <v>19.49</v>
      </c>
      <c r="H111" s="9" t="n">
        <v>14.04</v>
      </c>
      <c r="I111" s="8" t="n">
        <v>0.3</v>
      </c>
      <c r="J111" s="8" t="s">
        <v>77</v>
      </c>
      <c r="K111" s="8" t="s">
        <v>78</v>
      </c>
    </row>
    <row r="112" customFormat="false" ht="15" hidden="false" customHeight="false" outlineLevel="0" collapsed="false">
      <c r="A112" s="8" t="n">
        <v>100111</v>
      </c>
      <c r="B112" s="8" t="s">
        <v>85</v>
      </c>
      <c r="C112" s="8" t="s">
        <v>86</v>
      </c>
      <c r="D112" s="8" t="s">
        <v>62</v>
      </c>
      <c r="E112" s="8" t="s">
        <v>43</v>
      </c>
      <c r="F112" s="8" t="s">
        <v>184</v>
      </c>
      <c r="G112" s="9" t="n">
        <v>104.14</v>
      </c>
      <c r="H112" s="9" t="n">
        <v>52.45</v>
      </c>
      <c r="I112" s="8" t="n">
        <v>1.6</v>
      </c>
      <c r="J112" s="8" t="s">
        <v>77</v>
      </c>
      <c r="K112" s="8" t="s">
        <v>78</v>
      </c>
    </row>
    <row r="113" customFormat="false" ht="15" hidden="false" customHeight="false" outlineLevel="0" collapsed="false">
      <c r="A113" s="8" t="n">
        <v>100112</v>
      </c>
      <c r="B113" s="8" t="s">
        <v>79</v>
      </c>
      <c r="C113" s="8" t="s">
        <v>80</v>
      </c>
      <c r="D113" s="8" t="s">
        <v>64</v>
      </c>
      <c r="E113" s="8" t="s">
        <v>41</v>
      </c>
      <c r="F113" s="8" t="s">
        <v>167</v>
      </c>
      <c r="G113" s="9" t="n">
        <v>324</v>
      </c>
      <c r="H113" s="9" t="n">
        <v>237.28</v>
      </c>
      <c r="I113" s="8" t="n">
        <v>2.8</v>
      </c>
      <c r="J113" s="8" t="s">
        <v>77</v>
      </c>
      <c r="K113" s="8" t="s">
        <v>78</v>
      </c>
    </row>
    <row r="114" customFormat="false" ht="15" hidden="false" customHeight="false" outlineLevel="0" collapsed="false">
      <c r="A114" s="8" t="n">
        <v>100113</v>
      </c>
      <c r="B114" s="8" t="s">
        <v>99</v>
      </c>
      <c r="C114" s="8" t="s">
        <v>100</v>
      </c>
      <c r="D114" s="8" t="s">
        <v>61</v>
      </c>
      <c r="E114" s="8" t="s">
        <v>53</v>
      </c>
      <c r="F114" s="8" t="s">
        <v>133</v>
      </c>
      <c r="G114" s="9" t="n">
        <v>53.03</v>
      </c>
      <c r="H114" s="9" t="n">
        <v>34.76</v>
      </c>
      <c r="I114" s="8" t="n">
        <v>0.5</v>
      </c>
      <c r="J114" s="8" t="s">
        <v>77</v>
      </c>
      <c r="K114" s="8" t="s">
        <v>78</v>
      </c>
    </row>
    <row r="115" customFormat="false" ht="15" hidden="false" customHeight="false" outlineLevel="0" collapsed="false">
      <c r="A115" s="8" t="n">
        <v>100114</v>
      </c>
      <c r="B115" s="8" t="s">
        <v>74</v>
      </c>
      <c r="C115" s="8" t="s">
        <v>75</v>
      </c>
      <c r="D115" s="8" t="s">
        <v>64</v>
      </c>
      <c r="E115" s="8" t="s">
        <v>45</v>
      </c>
      <c r="F115" s="8" t="s">
        <v>185</v>
      </c>
      <c r="G115" s="9" t="n">
        <v>299.54</v>
      </c>
      <c r="H115" s="9" t="n">
        <v>234.85</v>
      </c>
      <c r="I115" s="8" t="n">
        <v>2.6</v>
      </c>
      <c r="J115" s="8" t="s">
        <v>77</v>
      </c>
      <c r="K115" s="8" t="s">
        <v>78</v>
      </c>
    </row>
    <row r="116" customFormat="false" ht="15" hidden="false" customHeight="false" outlineLevel="0" collapsed="false">
      <c r="A116" s="8" t="n">
        <v>100115</v>
      </c>
      <c r="B116" s="8" t="s">
        <v>85</v>
      </c>
      <c r="C116" s="8" t="s">
        <v>86</v>
      </c>
      <c r="D116" s="8" t="s">
        <v>64</v>
      </c>
      <c r="E116" s="8" t="s">
        <v>53</v>
      </c>
      <c r="F116" s="8" t="s">
        <v>186</v>
      </c>
      <c r="G116" s="9" t="n">
        <v>51.31</v>
      </c>
      <c r="H116" s="9" t="n">
        <v>45.11</v>
      </c>
      <c r="I116" s="8" t="n">
        <v>0.5</v>
      </c>
      <c r="J116" s="8" t="s">
        <v>77</v>
      </c>
      <c r="K116" s="8" t="s">
        <v>78</v>
      </c>
    </row>
    <row r="117" customFormat="false" ht="15" hidden="false" customHeight="false" outlineLevel="0" collapsed="false">
      <c r="A117" s="8" t="n">
        <v>100116</v>
      </c>
      <c r="B117" s="8" t="s">
        <v>74</v>
      </c>
      <c r="C117" s="8" t="s">
        <v>75</v>
      </c>
      <c r="D117" s="8" t="s">
        <v>64</v>
      </c>
      <c r="E117" s="8" t="s">
        <v>39</v>
      </c>
      <c r="F117" s="8" t="s">
        <v>187</v>
      </c>
      <c r="G117" s="9" t="n">
        <v>246.21</v>
      </c>
      <c r="H117" s="9" t="n">
        <v>161.7</v>
      </c>
      <c r="I117" s="8" t="n">
        <v>1.92</v>
      </c>
      <c r="J117" s="8" t="s">
        <v>77</v>
      </c>
      <c r="K117" s="8" t="s">
        <v>78</v>
      </c>
    </row>
    <row r="118" customFormat="false" ht="15" hidden="false" customHeight="false" outlineLevel="0" collapsed="false">
      <c r="A118" s="8" t="n">
        <v>100117</v>
      </c>
      <c r="B118" s="8" t="s">
        <v>90</v>
      </c>
      <c r="C118" s="8" t="s">
        <v>75</v>
      </c>
      <c r="D118" s="8" t="s">
        <v>61</v>
      </c>
      <c r="E118" s="8" t="s">
        <v>47</v>
      </c>
      <c r="F118" s="8" t="s">
        <v>134</v>
      </c>
      <c r="G118" s="9" t="n">
        <v>218.7</v>
      </c>
      <c r="H118" s="9" t="n">
        <v>141.92</v>
      </c>
      <c r="I118" s="8" t="n">
        <v>2.1</v>
      </c>
      <c r="J118" s="8" t="s">
        <v>77</v>
      </c>
      <c r="K118" s="8" t="s">
        <v>78</v>
      </c>
    </row>
    <row r="119" customFormat="false" ht="15" hidden="false" customHeight="false" outlineLevel="0" collapsed="false">
      <c r="A119" s="8" t="n">
        <v>100118</v>
      </c>
      <c r="B119" s="8" t="s">
        <v>93</v>
      </c>
      <c r="C119" s="8" t="s">
        <v>83</v>
      </c>
      <c r="D119" s="8" t="s">
        <v>62</v>
      </c>
      <c r="E119" s="8" t="s">
        <v>41</v>
      </c>
      <c r="F119" s="8" t="s">
        <v>188</v>
      </c>
      <c r="G119" s="9" t="n">
        <v>143.45</v>
      </c>
      <c r="H119" s="9" t="n">
        <v>119.12</v>
      </c>
      <c r="I119" s="8" t="n">
        <v>2.8</v>
      </c>
      <c r="J119" s="8" t="s">
        <v>77</v>
      </c>
      <c r="K119" s="8" t="s">
        <v>78</v>
      </c>
    </row>
    <row r="120" customFormat="false" ht="15" hidden="false" customHeight="false" outlineLevel="0" collapsed="false">
      <c r="A120" s="8" t="n">
        <v>100119</v>
      </c>
      <c r="B120" s="8" t="s">
        <v>82</v>
      </c>
      <c r="C120" s="8" t="s">
        <v>83</v>
      </c>
      <c r="D120" s="8" t="s">
        <v>64</v>
      </c>
      <c r="E120" s="8" t="s">
        <v>45</v>
      </c>
      <c r="F120" s="8" t="s">
        <v>189</v>
      </c>
      <c r="G120" s="9" t="n">
        <v>312.07</v>
      </c>
      <c r="H120" s="9" t="n">
        <v>257.55</v>
      </c>
      <c r="I120" s="8" t="n">
        <v>2.6</v>
      </c>
      <c r="J120" s="8" t="s">
        <v>77</v>
      </c>
      <c r="K120" s="8" t="s">
        <v>78</v>
      </c>
    </row>
    <row r="121" customFormat="false" ht="15" hidden="false" customHeight="false" outlineLevel="0" collapsed="false">
      <c r="A121" s="8" t="n">
        <v>100120</v>
      </c>
      <c r="B121" s="8" t="s">
        <v>93</v>
      </c>
      <c r="C121" s="8" t="s">
        <v>83</v>
      </c>
      <c r="D121" s="8" t="s">
        <v>61</v>
      </c>
      <c r="E121" s="8" t="s">
        <v>51</v>
      </c>
      <c r="F121" s="8" t="s">
        <v>187</v>
      </c>
      <c r="G121" s="9" t="n">
        <v>33.08</v>
      </c>
      <c r="H121" s="9" t="n">
        <v>0</v>
      </c>
      <c r="I121" s="8" t="n">
        <v>0.3</v>
      </c>
      <c r="J121" s="8" t="s">
        <v>98</v>
      </c>
      <c r="K121" s="8" t="s">
        <v>78</v>
      </c>
    </row>
    <row r="122" customFormat="false" ht="15" hidden="false" customHeight="false" outlineLevel="0" collapsed="false">
      <c r="A122" s="8" t="n">
        <v>100121</v>
      </c>
      <c r="B122" s="8" t="s">
        <v>79</v>
      </c>
      <c r="C122" s="8" t="s">
        <v>80</v>
      </c>
      <c r="D122" s="8" t="s">
        <v>63</v>
      </c>
      <c r="E122" s="8" t="s">
        <v>51</v>
      </c>
      <c r="F122" s="8" t="s">
        <v>190</v>
      </c>
      <c r="G122" s="9" t="n">
        <v>33.67</v>
      </c>
      <c r="H122" s="9" t="n">
        <v>21.98</v>
      </c>
      <c r="I122" s="8" t="n">
        <v>0.3</v>
      </c>
      <c r="J122" s="8" t="s">
        <v>77</v>
      </c>
      <c r="K122" s="8" t="s">
        <v>78</v>
      </c>
    </row>
    <row r="123" customFormat="false" ht="15" hidden="false" customHeight="false" outlineLevel="0" collapsed="false">
      <c r="A123" s="8" t="n">
        <v>100122</v>
      </c>
      <c r="B123" s="8" t="s">
        <v>79</v>
      </c>
      <c r="C123" s="8" t="s">
        <v>80</v>
      </c>
      <c r="D123" s="8" t="s">
        <v>65</v>
      </c>
      <c r="E123" s="8" t="s">
        <v>47</v>
      </c>
      <c r="F123" s="8" t="s">
        <v>191</v>
      </c>
      <c r="G123" s="9" t="n">
        <v>263.42</v>
      </c>
      <c r="H123" s="9" t="n">
        <v>0</v>
      </c>
      <c r="I123" s="8" t="n">
        <v>2.1</v>
      </c>
      <c r="J123" s="8" t="s">
        <v>98</v>
      </c>
      <c r="K123" s="8" t="s">
        <v>78</v>
      </c>
    </row>
    <row r="124" customFormat="false" ht="15" hidden="false" customHeight="false" outlineLevel="0" collapsed="false">
      <c r="A124" s="8" t="n">
        <v>100123</v>
      </c>
      <c r="B124" s="8" t="s">
        <v>90</v>
      </c>
      <c r="C124" s="8" t="s">
        <v>75</v>
      </c>
      <c r="D124" s="8" t="s">
        <v>64</v>
      </c>
      <c r="E124" s="8" t="s">
        <v>45</v>
      </c>
      <c r="F124" s="8" t="s">
        <v>192</v>
      </c>
      <c r="G124" s="9" t="n">
        <v>265.34</v>
      </c>
      <c r="H124" s="9" t="n">
        <v>205.79</v>
      </c>
      <c r="I124" s="8" t="n">
        <v>2.6</v>
      </c>
      <c r="J124" s="8" t="s">
        <v>77</v>
      </c>
      <c r="K124" s="8" t="s">
        <v>78</v>
      </c>
    </row>
    <row r="125" customFormat="false" ht="15" hidden="false" customHeight="false" outlineLevel="0" collapsed="false">
      <c r="A125" s="8" t="n">
        <v>100124</v>
      </c>
      <c r="B125" s="8" t="s">
        <v>104</v>
      </c>
      <c r="C125" s="8" t="s">
        <v>86</v>
      </c>
      <c r="D125" s="8" t="s">
        <v>62</v>
      </c>
      <c r="E125" s="8" t="s">
        <v>55</v>
      </c>
      <c r="F125" s="8" t="s">
        <v>97</v>
      </c>
      <c r="G125" s="9" t="n">
        <v>48.35</v>
      </c>
      <c r="H125" s="9" t="n">
        <v>31.52</v>
      </c>
      <c r="I125" s="8" t="n">
        <v>0.7</v>
      </c>
      <c r="J125" s="8" t="s">
        <v>77</v>
      </c>
      <c r="K125" s="8" t="s">
        <v>78</v>
      </c>
    </row>
    <row r="126" customFormat="false" ht="15" hidden="false" customHeight="false" outlineLevel="0" collapsed="false">
      <c r="A126" s="8" t="n">
        <v>100125</v>
      </c>
      <c r="B126" s="8" t="s">
        <v>74</v>
      </c>
      <c r="C126" s="8" t="s">
        <v>75</v>
      </c>
      <c r="D126" s="8" t="s">
        <v>61</v>
      </c>
      <c r="E126" s="8" t="s">
        <v>45</v>
      </c>
      <c r="F126" s="8" t="s">
        <v>191</v>
      </c>
      <c r="G126" s="9" t="n">
        <v>267.87</v>
      </c>
      <c r="H126" s="9" t="n">
        <v>174.06</v>
      </c>
      <c r="I126" s="8" t="n">
        <v>2.6</v>
      </c>
      <c r="J126" s="8" t="s">
        <v>77</v>
      </c>
      <c r="K126" s="8" t="s">
        <v>78</v>
      </c>
    </row>
    <row r="127" customFormat="false" ht="15" hidden="false" customHeight="false" outlineLevel="0" collapsed="false">
      <c r="A127" s="8" t="n">
        <v>100126</v>
      </c>
      <c r="B127" s="8" t="s">
        <v>85</v>
      </c>
      <c r="C127" s="8" t="s">
        <v>86</v>
      </c>
      <c r="D127" s="8" t="s">
        <v>64</v>
      </c>
      <c r="E127" s="8" t="s">
        <v>41</v>
      </c>
      <c r="F127" s="8" t="s">
        <v>193</v>
      </c>
      <c r="G127" s="9" t="n">
        <v>292.72</v>
      </c>
      <c r="H127" s="9" t="n">
        <v>260.75</v>
      </c>
      <c r="I127" s="8" t="n">
        <v>2.8</v>
      </c>
      <c r="J127" s="8" t="s">
        <v>77</v>
      </c>
      <c r="K127" s="8" t="s">
        <v>78</v>
      </c>
    </row>
    <row r="128" customFormat="false" ht="15" hidden="false" customHeight="false" outlineLevel="0" collapsed="false">
      <c r="A128" s="8" t="n">
        <v>100127</v>
      </c>
      <c r="B128" s="8" t="s">
        <v>104</v>
      </c>
      <c r="C128" s="8" t="s">
        <v>86</v>
      </c>
      <c r="D128" s="8" t="s">
        <v>62</v>
      </c>
      <c r="E128" s="8" t="s">
        <v>45</v>
      </c>
      <c r="F128" s="8" t="s">
        <v>110</v>
      </c>
      <c r="G128" s="9" t="n">
        <v>184.24</v>
      </c>
      <c r="H128" s="9" t="n">
        <v>0</v>
      </c>
      <c r="I128" s="8" t="n">
        <v>2.6</v>
      </c>
      <c r="J128" s="8" t="s">
        <v>116</v>
      </c>
      <c r="K128" s="8" t="s">
        <v>138</v>
      </c>
    </row>
    <row r="129" customFormat="false" ht="15" hidden="false" customHeight="false" outlineLevel="0" collapsed="false">
      <c r="A129" s="8" t="n">
        <v>100128</v>
      </c>
      <c r="B129" s="8" t="s">
        <v>74</v>
      </c>
      <c r="C129" s="8" t="s">
        <v>75</v>
      </c>
      <c r="D129" s="8" t="s">
        <v>64</v>
      </c>
      <c r="E129" s="8" t="s">
        <v>39</v>
      </c>
      <c r="F129" s="8" t="s">
        <v>194</v>
      </c>
      <c r="G129" s="9" t="n">
        <v>200.2</v>
      </c>
      <c r="H129" s="9" t="n">
        <v>0</v>
      </c>
      <c r="I129" s="8" t="n">
        <v>1.92</v>
      </c>
      <c r="J129" s="8" t="s">
        <v>116</v>
      </c>
      <c r="K129" s="8" t="s">
        <v>155</v>
      </c>
    </row>
    <row r="130" customFormat="false" ht="15" hidden="false" customHeight="false" outlineLevel="0" collapsed="false">
      <c r="A130" s="8" t="n">
        <v>100129</v>
      </c>
      <c r="B130" s="8" t="s">
        <v>74</v>
      </c>
      <c r="C130" s="8" t="s">
        <v>75</v>
      </c>
      <c r="D130" s="8" t="s">
        <v>64</v>
      </c>
      <c r="E130" s="8" t="s">
        <v>37</v>
      </c>
      <c r="F130" s="8" t="s">
        <v>96</v>
      </c>
      <c r="G130" s="9" t="n">
        <v>149.74</v>
      </c>
      <c r="H130" s="9" t="n">
        <v>119.76</v>
      </c>
      <c r="I130" s="8" t="n">
        <v>1.3</v>
      </c>
      <c r="J130" s="8" t="s">
        <v>77</v>
      </c>
      <c r="K130" s="8" t="s">
        <v>78</v>
      </c>
    </row>
    <row r="131" customFormat="false" ht="15" hidden="false" customHeight="false" outlineLevel="0" collapsed="false">
      <c r="A131" s="8" t="n">
        <v>100130</v>
      </c>
      <c r="B131" s="8" t="s">
        <v>79</v>
      </c>
      <c r="C131" s="8" t="s">
        <v>80</v>
      </c>
      <c r="D131" s="8" t="s">
        <v>63</v>
      </c>
      <c r="E131" s="8" t="s">
        <v>39</v>
      </c>
      <c r="F131" s="8" t="s">
        <v>195</v>
      </c>
      <c r="G131" s="9" t="n">
        <v>199.15</v>
      </c>
      <c r="H131" s="9" t="n">
        <v>140.64</v>
      </c>
      <c r="I131" s="8" t="n">
        <v>1.92</v>
      </c>
      <c r="J131" s="8" t="s">
        <v>77</v>
      </c>
      <c r="K131" s="8" t="s">
        <v>78</v>
      </c>
    </row>
    <row r="132" customFormat="false" ht="15" hidden="false" customHeight="false" outlineLevel="0" collapsed="false">
      <c r="A132" s="8" t="n">
        <v>100131</v>
      </c>
      <c r="B132" s="8" t="s">
        <v>82</v>
      </c>
      <c r="C132" s="8" t="s">
        <v>83</v>
      </c>
      <c r="D132" s="8" t="s">
        <v>61</v>
      </c>
      <c r="E132" s="8" t="s">
        <v>51</v>
      </c>
      <c r="F132" s="8" t="s">
        <v>196</v>
      </c>
      <c r="G132" s="9" t="n">
        <v>32.74</v>
      </c>
      <c r="H132" s="9" t="n">
        <v>20.55</v>
      </c>
      <c r="I132" s="8" t="n">
        <v>0.3</v>
      </c>
      <c r="J132" s="8" t="s">
        <v>77</v>
      </c>
      <c r="K132" s="8" t="s">
        <v>78</v>
      </c>
    </row>
    <row r="133" customFormat="false" ht="15" hidden="false" customHeight="false" outlineLevel="0" collapsed="false">
      <c r="A133" s="8" t="n">
        <v>100132</v>
      </c>
      <c r="B133" s="8" t="s">
        <v>104</v>
      </c>
      <c r="C133" s="8" t="s">
        <v>86</v>
      </c>
      <c r="D133" s="8" t="s">
        <v>64</v>
      </c>
      <c r="E133" s="8" t="s">
        <v>39</v>
      </c>
      <c r="F133" s="8" t="s">
        <v>81</v>
      </c>
      <c r="G133" s="9" t="n">
        <v>196.97</v>
      </c>
      <c r="H133" s="9" t="n">
        <v>164.54</v>
      </c>
      <c r="I133" s="8" t="n">
        <v>1.92</v>
      </c>
      <c r="J133" s="8" t="s">
        <v>77</v>
      </c>
      <c r="K133" s="8" t="s">
        <v>78</v>
      </c>
    </row>
    <row r="134" customFormat="false" ht="15" hidden="false" customHeight="false" outlineLevel="0" collapsed="false">
      <c r="A134" s="8" t="n">
        <v>100133</v>
      </c>
      <c r="B134" s="8" t="s">
        <v>93</v>
      </c>
      <c r="C134" s="8" t="s">
        <v>83</v>
      </c>
      <c r="D134" s="8" t="s">
        <v>64</v>
      </c>
      <c r="E134" s="8" t="s">
        <v>39</v>
      </c>
      <c r="F134" s="8" t="s">
        <v>197</v>
      </c>
      <c r="G134" s="9" t="n">
        <v>251.65</v>
      </c>
      <c r="H134" s="9" t="n">
        <v>180.17</v>
      </c>
      <c r="I134" s="8" t="n">
        <v>1.92</v>
      </c>
      <c r="J134" s="8" t="s">
        <v>77</v>
      </c>
      <c r="K134" s="8" t="s">
        <v>78</v>
      </c>
    </row>
    <row r="135" customFormat="false" ht="15" hidden="false" customHeight="false" outlineLevel="0" collapsed="false">
      <c r="A135" s="8" t="n">
        <v>100134</v>
      </c>
      <c r="B135" s="8" t="s">
        <v>82</v>
      </c>
      <c r="C135" s="8" t="s">
        <v>83</v>
      </c>
      <c r="D135" s="8" t="s">
        <v>64</v>
      </c>
      <c r="E135" s="8" t="s">
        <v>51</v>
      </c>
      <c r="F135" s="8" t="s">
        <v>87</v>
      </c>
      <c r="G135" s="9" t="n">
        <v>42.6</v>
      </c>
      <c r="H135" s="9" t="n">
        <v>27.3</v>
      </c>
      <c r="I135" s="8" t="n">
        <v>0.3</v>
      </c>
      <c r="J135" s="8" t="s">
        <v>77</v>
      </c>
      <c r="K135" s="8" t="s">
        <v>78</v>
      </c>
    </row>
    <row r="136" customFormat="false" ht="15" hidden="false" customHeight="false" outlineLevel="0" collapsed="false">
      <c r="A136" s="8" t="n">
        <v>100135</v>
      </c>
      <c r="B136" s="8" t="s">
        <v>90</v>
      </c>
      <c r="C136" s="8" t="s">
        <v>75</v>
      </c>
      <c r="D136" s="8" t="s">
        <v>64</v>
      </c>
      <c r="E136" s="8" t="s">
        <v>45</v>
      </c>
      <c r="F136" s="8" t="s">
        <v>198</v>
      </c>
      <c r="G136" s="9" t="n">
        <v>284.15</v>
      </c>
      <c r="H136" s="9" t="n">
        <v>181.92</v>
      </c>
      <c r="I136" s="8" t="n">
        <v>2.6</v>
      </c>
      <c r="J136" s="8" t="s">
        <v>77</v>
      </c>
      <c r="K136" s="8" t="s">
        <v>78</v>
      </c>
    </row>
    <row r="137" customFormat="false" ht="15" hidden="false" customHeight="false" outlineLevel="0" collapsed="false">
      <c r="A137" s="8" t="n">
        <v>100136</v>
      </c>
      <c r="B137" s="8" t="s">
        <v>90</v>
      </c>
      <c r="C137" s="8" t="s">
        <v>75</v>
      </c>
      <c r="D137" s="8" t="s">
        <v>61</v>
      </c>
      <c r="E137" s="8" t="s">
        <v>47</v>
      </c>
      <c r="F137" s="8" t="s">
        <v>199</v>
      </c>
      <c r="G137" s="9" t="n">
        <v>182.64</v>
      </c>
      <c r="H137" s="9" t="n">
        <v>141.25</v>
      </c>
      <c r="I137" s="8" t="n">
        <v>2.1</v>
      </c>
      <c r="J137" s="8" t="s">
        <v>77</v>
      </c>
      <c r="K137" s="8" t="s">
        <v>78</v>
      </c>
    </row>
    <row r="138" customFormat="false" ht="15" hidden="false" customHeight="false" outlineLevel="0" collapsed="false">
      <c r="A138" s="8" t="n">
        <v>100137</v>
      </c>
      <c r="B138" s="8" t="s">
        <v>82</v>
      </c>
      <c r="C138" s="8" t="s">
        <v>83</v>
      </c>
      <c r="D138" s="8" t="s">
        <v>62</v>
      </c>
      <c r="E138" s="8" t="s">
        <v>47</v>
      </c>
      <c r="F138" s="8" t="s">
        <v>200</v>
      </c>
      <c r="G138" s="9" t="n">
        <v>143.85</v>
      </c>
      <c r="H138" s="9" t="n">
        <v>94.72</v>
      </c>
      <c r="I138" s="8" t="n">
        <v>2.1</v>
      </c>
      <c r="J138" s="8" t="s">
        <v>77</v>
      </c>
      <c r="K138" s="8" t="s">
        <v>78</v>
      </c>
    </row>
    <row r="139" customFormat="false" ht="15" hidden="false" customHeight="false" outlineLevel="0" collapsed="false">
      <c r="A139" s="8" t="n">
        <v>100138</v>
      </c>
      <c r="B139" s="8" t="s">
        <v>93</v>
      </c>
      <c r="C139" s="8" t="s">
        <v>83</v>
      </c>
      <c r="D139" s="8" t="s">
        <v>65</v>
      </c>
      <c r="E139" s="8" t="s">
        <v>45</v>
      </c>
      <c r="F139" s="8" t="s">
        <v>87</v>
      </c>
      <c r="G139" s="9" t="n">
        <v>347.15</v>
      </c>
      <c r="H139" s="9" t="n">
        <v>246.05</v>
      </c>
      <c r="I139" s="8" t="n">
        <v>2.6</v>
      </c>
      <c r="J139" s="8" t="s">
        <v>77</v>
      </c>
      <c r="K139" s="8" t="s">
        <v>78</v>
      </c>
    </row>
    <row r="140" customFormat="false" ht="15" hidden="false" customHeight="false" outlineLevel="0" collapsed="false">
      <c r="A140" s="8" t="n">
        <v>100139</v>
      </c>
      <c r="B140" s="8" t="s">
        <v>82</v>
      </c>
      <c r="C140" s="8" t="s">
        <v>83</v>
      </c>
      <c r="D140" s="8" t="s">
        <v>65</v>
      </c>
      <c r="E140" s="8" t="s">
        <v>47</v>
      </c>
      <c r="F140" s="8" t="s">
        <v>156</v>
      </c>
      <c r="G140" s="9" t="n">
        <v>216.38</v>
      </c>
      <c r="H140" s="9" t="n">
        <v>186.11</v>
      </c>
      <c r="I140" s="8" t="n">
        <v>2.1</v>
      </c>
      <c r="J140" s="8" t="s">
        <v>77</v>
      </c>
      <c r="K140" s="8" t="s">
        <v>78</v>
      </c>
    </row>
    <row r="141" customFormat="false" ht="15" hidden="false" customHeight="false" outlineLevel="0" collapsed="false">
      <c r="A141" s="8" t="n">
        <v>100140</v>
      </c>
      <c r="B141" s="8" t="s">
        <v>74</v>
      </c>
      <c r="C141" s="8" t="s">
        <v>75</v>
      </c>
      <c r="D141" s="8" t="s">
        <v>64</v>
      </c>
      <c r="E141" s="8" t="s">
        <v>51</v>
      </c>
      <c r="F141" s="8" t="s">
        <v>201</v>
      </c>
      <c r="G141" s="9" t="n">
        <v>40.5</v>
      </c>
      <c r="H141" s="9" t="n">
        <v>27.01</v>
      </c>
      <c r="I141" s="8" t="n">
        <v>0.3</v>
      </c>
      <c r="J141" s="8" t="s">
        <v>77</v>
      </c>
      <c r="K141" s="8" t="s">
        <v>78</v>
      </c>
    </row>
    <row r="142" customFormat="false" ht="15" hidden="false" customHeight="false" outlineLevel="0" collapsed="false">
      <c r="A142" s="8" t="n">
        <v>100141</v>
      </c>
      <c r="B142" s="8" t="s">
        <v>104</v>
      </c>
      <c r="C142" s="8" t="s">
        <v>86</v>
      </c>
      <c r="D142" s="8" t="s">
        <v>64</v>
      </c>
      <c r="E142" s="8" t="s">
        <v>37</v>
      </c>
      <c r="F142" s="8" t="s">
        <v>202</v>
      </c>
      <c r="G142" s="9" t="n">
        <v>138.93</v>
      </c>
      <c r="H142" s="9" t="n">
        <v>119.32</v>
      </c>
      <c r="I142" s="8" t="n">
        <v>1.3</v>
      </c>
      <c r="J142" s="8" t="s">
        <v>77</v>
      </c>
      <c r="K142" s="8" t="s">
        <v>78</v>
      </c>
    </row>
    <row r="143" customFormat="false" ht="15" hidden="false" customHeight="false" outlineLevel="0" collapsed="false">
      <c r="A143" s="8" t="n">
        <v>100142</v>
      </c>
      <c r="B143" s="8" t="s">
        <v>99</v>
      </c>
      <c r="C143" s="8" t="s">
        <v>100</v>
      </c>
      <c r="D143" s="8" t="s">
        <v>61</v>
      </c>
      <c r="E143" s="8" t="s">
        <v>39</v>
      </c>
      <c r="F143" s="8" t="s">
        <v>203</v>
      </c>
      <c r="G143" s="9" t="n">
        <v>165.75</v>
      </c>
      <c r="H143" s="9" t="n">
        <v>128.95</v>
      </c>
      <c r="I143" s="8" t="n">
        <v>1.92</v>
      </c>
      <c r="J143" s="8" t="s">
        <v>77</v>
      </c>
      <c r="K143" s="8" t="s">
        <v>78</v>
      </c>
    </row>
    <row r="144" customFormat="false" ht="15" hidden="false" customHeight="false" outlineLevel="0" collapsed="false">
      <c r="A144" s="8" t="n">
        <v>100143</v>
      </c>
      <c r="B144" s="8" t="s">
        <v>79</v>
      </c>
      <c r="C144" s="8" t="s">
        <v>80</v>
      </c>
      <c r="D144" s="8" t="s">
        <v>65</v>
      </c>
      <c r="E144" s="8" t="s">
        <v>53</v>
      </c>
      <c r="F144" s="8" t="s">
        <v>156</v>
      </c>
      <c r="G144" s="9" t="n">
        <v>56.44</v>
      </c>
      <c r="H144" s="9" t="n">
        <v>44.77</v>
      </c>
      <c r="I144" s="8" t="n">
        <v>0.5</v>
      </c>
      <c r="J144" s="8" t="s">
        <v>77</v>
      </c>
      <c r="K144" s="8" t="s">
        <v>78</v>
      </c>
    </row>
    <row r="145" customFormat="false" ht="15" hidden="false" customHeight="false" outlineLevel="0" collapsed="false">
      <c r="A145" s="8" t="n">
        <v>100144</v>
      </c>
      <c r="B145" s="8" t="s">
        <v>82</v>
      </c>
      <c r="C145" s="8" t="s">
        <v>83</v>
      </c>
      <c r="D145" s="8" t="s">
        <v>64</v>
      </c>
      <c r="E145" s="8" t="s">
        <v>51</v>
      </c>
      <c r="F145" s="8" t="s">
        <v>204</v>
      </c>
      <c r="G145" s="9" t="n">
        <v>41.84</v>
      </c>
      <c r="H145" s="9" t="n">
        <v>21.05</v>
      </c>
      <c r="I145" s="8" t="n">
        <v>0.3</v>
      </c>
      <c r="J145" s="8" t="s">
        <v>77</v>
      </c>
      <c r="K145" s="8" t="s">
        <v>78</v>
      </c>
    </row>
    <row r="146" customFormat="false" ht="15" hidden="false" customHeight="false" outlineLevel="0" collapsed="false">
      <c r="A146" s="8" t="n">
        <v>100145</v>
      </c>
      <c r="B146" s="8" t="s">
        <v>85</v>
      </c>
      <c r="C146" s="8" t="s">
        <v>86</v>
      </c>
      <c r="D146" s="8" t="s">
        <v>64</v>
      </c>
      <c r="E146" s="8" t="s">
        <v>47</v>
      </c>
      <c r="F146" s="8" t="s">
        <v>205</v>
      </c>
      <c r="G146" s="9" t="n">
        <v>271.02</v>
      </c>
      <c r="H146" s="9" t="n">
        <v>191.75</v>
      </c>
      <c r="I146" s="8" t="n">
        <v>2.1</v>
      </c>
      <c r="J146" s="8" t="s">
        <v>77</v>
      </c>
      <c r="K146" s="8" t="s">
        <v>78</v>
      </c>
    </row>
    <row r="147" customFormat="false" ht="15" hidden="false" customHeight="false" outlineLevel="0" collapsed="false">
      <c r="A147" s="8" t="n">
        <v>100146</v>
      </c>
      <c r="B147" s="8" t="s">
        <v>74</v>
      </c>
      <c r="C147" s="8" t="s">
        <v>75</v>
      </c>
      <c r="D147" s="8" t="s">
        <v>61</v>
      </c>
      <c r="E147" s="8" t="s">
        <v>39</v>
      </c>
      <c r="F147" s="8" t="s">
        <v>173</v>
      </c>
      <c r="G147" s="9" t="n">
        <v>172.08</v>
      </c>
      <c r="H147" s="9" t="n">
        <v>125.16</v>
      </c>
      <c r="I147" s="8" t="n">
        <v>1.92</v>
      </c>
      <c r="J147" s="8" t="s">
        <v>77</v>
      </c>
      <c r="K147" s="8" t="s">
        <v>78</v>
      </c>
    </row>
    <row r="148" customFormat="false" ht="15" hidden="false" customHeight="false" outlineLevel="0" collapsed="false">
      <c r="A148" s="8" t="n">
        <v>100147</v>
      </c>
      <c r="B148" s="8" t="s">
        <v>85</v>
      </c>
      <c r="C148" s="8" t="s">
        <v>86</v>
      </c>
      <c r="D148" s="8" t="s">
        <v>61</v>
      </c>
      <c r="E148" s="8" t="s">
        <v>49</v>
      </c>
      <c r="F148" s="8" t="s">
        <v>129</v>
      </c>
      <c r="G148" s="9" t="n">
        <v>15.71</v>
      </c>
      <c r="H148" s="9" t="n">
        <v>10.48</v>
      </c>
      <c r="I148" s="8" t="n">
        <v>0.18</v>
      </c>
      <c r="J148" s="8" t="s">
        <v>77</v>
      </c>
      <c r="K148" s="8" t="s">
        <v>78</v>
      </c>
    </row>
    <row r="149" customFormat="false" ht="15" hidden="false" customHeight="false" outlineLevel="0" collapsed="false">
      <c r="A149" s="8" t="n">
        <v>100148</v>
      </c>
      <c r="B149" s="8" t="s">
        <v>104</v>
      </c>
      <c r="C149" s="8" t="s">
        <v>86</v>
      </c>
      <c r="D149" s="8" t="s">
        <v>65</v>
      </c>
      <c r="E149" s="8" t="s">
        <v>45</v>
      </c>
      <c r="F149" s="8" t="s">
        <v>206</v>
      </c>
      <c r="G149" s="9" t="n">
        <v>300.9</v>
      </c>
      <c r="H149" s="9" t="n">
        <v>232.16</v>
      </c>
      <c r="I149" s="8" t="n">
        <v>2.6</v>
      </c>
      <c r="J149" s="8" t="s">
        <v>77</v>
      </c>
      <c r="K149" s="8" t="s">
        <v>78</v>
      </c>
    </row>
    <row r="150" customFormat="false" ht="15" hidden="false" customHeight="false" outlineLevel="0" collapsed="false">
      <c r="A150" s="8" t="n">
        <v>100149</v>
      </c>
      <c r="B150" s="8" t="s">
        <v>74</v>
      </c>
      <c r="C150" s="8" t="s">
        <v>75</v>
      </c>
      <c r="D150" s="8" t="s">
        <v>63</v>
      </c>
      <c r="E150" s="8" t="s">
        <v>53</v>
      </c>
      <c r="F150" s="8" t="s">
        <v>153</v>
      </c>
      <c r="G150" s="9" t="n">
        <v>47.35</v>
      </c>
      <c r="H150" s="9" t="n">
        <v>36.66</v>
      </c>
      <c r="I150" s="8" t="n">
        <v>0.5</v>
      </c>
      <c r="J150" s="8" t="s">
        <v>77</v>
      </c>
      <c r="K150" s="8" t="s">
        <v>78</v>
      </c>
    </row>
    <row r="151" customFormat="false" ht="15" hidden="false" customHeight="false" outlineLevel="0" collapsed="false">
      <c r="A151" s="8" t="n">
        <v>100150</v>
      </c>
      <c r="B151" s="8" t="s">
        <v>104</v>
      </c>
      <c r="C151" s="8" t="s">
        <v>86</v>
      </c>
      <c r="D151" s="8" t="s">
        <v>61</v>
      </c>
      <c r="E151" s="8" t="s">
        <v>41</v>
      </c>
      <c r="F151" s="8" t="s">
        <v>207</v>
      </c>
      <c r="G151" s="9" t="n">
        <v>232.95</v>
      </c>
      <c r="H151" s="9" t="n">
        <v>201.79</v>
      </c>
      <c r="I151" s="8" t="n">
        <v>2.8</v>
      </c>
      <c r="J151" s="8" t="s">
        <v>77</v>
      </c>
      <c r="K151" s="8" t="s">
        <v>78</v>
      </c>
    </row>
    <row r="152" customFormat="false" ht="15" hidden="false" customHeight="false" outlineLevel="0" collapsed="false">
      <c r="A152" s="8" t="n">
        <v>100151</v>
      </c>
      <c r="B152" s="8" t="s">
        <v>93</v>
      </c>
      <c r="C152" s="8" t="s">
        <v>83</v>
      </c>
      <c r="D152" s="8" t="s">
        <v>65</v>
      </c>
      <c r="E152" s="8" t="s">
        <v>49</v>
      </c>
      <c r="F152" s="8" t="s">
        <v>208</v>
      </c>
      <c r="G152" s="9" t="n">
        <v>18.9</v>
      </c>
      <c r="H152" s="9" t="n">
        <v>17.02</v>
      </c>
      <c r="I152" s="8" t="n">
        <v>0.18</v>
      </c>
      <c r="J152" s="8" t="s">
        <v>77</v>
      </c>
      <c r="K152" s="8" t="s">
        <v>78</v>
      </c>
    </row>
    <row r="153" customFormat="false" ht="15" hidden="false" customHeight="false" outlineLevel="0" collapsed="false">
      <c r="A153" s="8" t="n">
        <v>100152</v>
      </c>
      <c r="B153" s="8" t="s">
        <v>79</v>
      </c>
      <c r="C153" s="8" t="s">
        <v>80</v>
      </c>
      <c r="D153" s="8" t="s">
        <v>64</v>
      </c>
      <c r="E153" s="8" t="s">
        <v>51</v>
      </c>
      <c r="F153" s="8" t="s">
        <v>209</v>
      </c>
      <c r="G153" s="9" t="n">
        <v>35.19</v>
      </c>
      <c r="H153" s="9" t="n">
        <v>23.09</v>
      </c>
      <c r="I153" s="8" t="n">
        <v>0.3</v>
      </c>
      <c r="J153" s="8" t="s">
        <v>77</v>
      </c>
      <c r="K153" s="8" t="s">
        <v>78</v>
      </c>
    </row>
    <row r="154" customFormat="false" ht="15" hidden="false" customHeight="false" outlineLevel="0" collapsed="false">
      <c r="A154" s="8" t="n">
        <v>100153</v>
      </c>
      <c r="B154" s="8" t="s">
        <v>90</v>
      </c>
      <c r="C154" s="8" t="s">
        <v>75</v>
      </c>
      <c r="D154" s="8" t="s">
        <v>62</v>
      </c>
      <c r="E154" s="8" t="s">
        <v>41</v>
      </c>
      <c r="F154" s="8" t="s">
        <v>210</v>
      </c>
      <c r="G154" s="9" t="n">
        <v>180.23</v>
      </c>
      <c r="H154" s="9" t="n">
        <v>120.59</v>
      </c>
      <c r="I154" s="8" t="n">
        <v>2.8</v>
      </c>
      <c r="J154" s="8" t="s">
        <v>77</v>
      </c>
      <c r="K154" s="8" t="s">
        <v>78</v>
      </c>
    </row>
    <row r="155" customFormat="false" ht="15" hidden="false" customHeight="false" outlineLevel="0" collapsed="false">
      <c r="A155" s="8" t="n">
        <v>100154</v>
      </c>
      <c r="B155" s="8" t="s">
        <v>99</v>
      </c>
      <c r="C155" s="8" t="s">
        <v>100</v>
      </c>
      <c r="D155" s="8" t="s">
        <v>65</v>
      </c>
      <c r="E155" s="8" t="s">
        <v>51</v>
      </c>
      <c r="F155" s="8" t="s">
        <v>211</v>
      </c>
      <c r="G155" s="9" t="n">
        <v>36.08</v>
      </c>
      <c r="H155" s="9" t="n">
        <v>26.75</v>
      </c>
      <c r="I155" s="8" t="n">
        <v>0.3</v>
      </c>
      <c r="J155" s="8" t="s">
        <v>77</v>
      </c>
      <c r="K155" s="8" t="s">
        <v>78</v>
      </c>
    </row>
    <row r="156" customFormat="false" ht="15" hidden="false" customHeight="false" outlineLevel="0" collapsed="false">
      <c r="A156" s="8" t="n">
        <v>100155</v>
      </c>
      <c r="B156" s="8" t="s">
        <v>104</v>
      </c>
      <c r="C156" s="8" t="s">
        <v>86</v>
      </c>
      <c r="D156" s="8" t="s">
        <v>65</v>
      </c>
      <c r="E156" s="8" t="s">
        <v>51</v>
      </c>
      <c r="F156" s="8" t="s">
        <v>212</v>
      </c>
      <c r="G156" s="9" t="n">
        <v>37.45</v>
      </c>
      <c r="H156" s="9" t="n">
        <v>27.78</v>
      </c>
      <c r="I156" s="8" t="n">
        <v>0.3</v>
      </c>
      <c r="J156" s="8" t="s">
        <v>77</v>
      </c>
      <c r="K156" s="8" t="s">
        <v>78</v>
      </c>
    </row>
    <row r="157" customFormat="false" ht="15" hidden="false" customHeight="false" outlineLevel="0" collapsed="false">
      <c r="A157" s="8" t="n">
        <v>100156</v>
      </c>
      <c r="B157" s="8" t="s">
        <v>90</v>
      </c>
      <c r="C157" s="8" t="s">
        <v>75</v>
      </c>
      <c r="D157" s="8" t="s">
        <v>62</v>
      </c>
      <c r="E157" s="8" t="s">
        <v>45</v>
      </c>
      <c r="F157" s="8" t="s">
        <v>213</v>
      </c>
      <c r="G157" s="9" t="n">
        <v>185.9</v>
      </c>
      <c r="H157" s="9" t="n">
        <v>89.43</v>
      </c>
      <c r="I157" s="8" t="n">
        <v>2.6</v>
      </c>
      <c r="J157" s="8" t="s">
        <v>77</v>
      </c>
      <c r="K157" s="8" t="s">
        <v>78</v>
      </c>
    </row>
    <row r="158" customFormat="false" ht="15" hidden="false" customHeight="false" outlineLevel="0" collapsed="false">
      <c r="A158" s="8" t="n">
        <v>100157</v>
      </c>
      <c r="B158" s="8" t="s">
        <v>90</v>
      </c>
      <c r="C158" s="8" t="s">
        <v>75</v>
      </c>
      <c r="D158" s="8" t="s">
        <v>64</v>
      </c>
      <c r="E158" s="8" t="s">
        <v>49</v>
      </c>
      <c r="F158" s="8" t="s">
        <v>214</v>
      </c>
      <c r="G158" s="9" t="n">
        <v>19.67</v>
      </c>
      <c r="H158" s="9" t="n">
        <v>12.8</v>
      </c>
      <c r="I158" s="8" t="n">
        <v>0.18</v>
      </c>
      <c r="J158" s="8" t="s">
        <v>77</v>
      </c>
      <c r="K158" s="8" t="s">
        <v>78</v>
      </c>
    </row>
    <row r="159" customFormat="false" ht="15" hidden="false" customHeight="false" outlineLevel="0" collapsed="false">
      <c r="A159" s="8" t="n">
        <v>100158</v>
      </c>
      <c r="B159" s="8" t="s">
        <v>74</v>
      </c>
      <c r="C159" s="8" t="s">
        <v>75</v>
      </c>
      <c r="D159" s="8" t="s">
        <v>64</v>
      </c>
      <c r="E159" s="8" t="s">
        <v>37</v>
      </c>
      <c r="F159" s="8" t="s">
        <v>215</v>
      </c>
      <c r="G159" s="9" t="n">
        <v>158.86</v>
      </c>
      <c r="H159" s="9" t="n">
        <v>116.68</v>
      </c>
      <c r="I159" s="8" t="n">
        <v>1.3</v>
      </c>
      <c r="J159" s="8" t="s">
        <v>77</v>
      </c>
      <c r="K159" s="8" t="s">
        <v>78</v>
      </c>
    </row>
    <row r="160" customFormat="false" ht="15" hidden="false" customHeight="false" outlineLevel="0" collapsed="false">
      <c r="A160" s="8" t="n">
        <v>100159</v>
      </c>
      <c r="B160" s="8" t="s">
        <v>79</v>
      </c>
      <c r="C160" s="8" t="s">
        <v>80</v>
      </c>
      <c r="D160" s="8" t="s">
        <v>64</v>
      </c>
      <c r="E160" s="8" t="s">
        <v>45</v>
      </c>
      <c r="F160" s="8" t="s">
        <v>216</v>
      </c>
      <c r="G160" s="9" t="n">
        <v>276.42</v>
      </c>
      <c r="H160" s="9" t="n">
        <v>234.16</v>
      </c>
      <c r="I160" s="8" t="n">
        <v>2.6</v>
      </c>
      <c r="J160" s="8" t="s">
        <v>77</v>
      </c>
      <c r="K160" s="8" t="s">
        <v>78</v>
      </c>
    </row>
    <row r="161" customFormat="false" ht="15" hidden="false" customHeight="false" outlineLevel="0" collapsed="false">
      <c r="A161" s="8" t="n">
        <v>100160</v>
      </c>
      <c r="B161" s="8" t="s">
        <v>85</v>
      </c>
      <c r="C161" s="8" t="s">
        <v>86</v>
      </c>
      <c r="D161" s="8" t="s">
        <v>61</v>
      </c>
      <c r="E161" s="8" t="s">
        <v>49</v>
      </c>
      <c r="F161" s="8" t="s">
        <v>217</v>
      </c>
      <c r="G161" s="9" t="n">
        <v>18.36</v>
      </c>
      <c r="H161" s="9" t="n">
        <v>12.02</v>
      </c>
      <c r="I161" s="8" t="n">
        <v>0.18</v>
      </c>
      <c r="J161" s="8" t="s">
        <v>77</v>
      </c>
      <c r="K161" s="8" t="s">
        <v>78</v>
      </c>
    </row>
    <row r="162" customFormat="false" ht="15" hidden="false" customHeight="false" outlineLevel="0" collapsed="false">
      <c r="A162" s="8" t="n">
        <v>100161</v>
      </c>
      <c r="B162" s="8" t="s">
        <v>104</v>
      </c>
      <c r="C162" s="8" t="s">
        <v>86</v>
      </c>
      <c r="D162" s="8" t="s">
        <v>63</v>
      </c>
      <c r="E162" s="8" t="s">
        <v>43</v>
      </c>
      <c r="F162" s="8" t="s">
        <v>140</v>
      </c>
      <c r="G162" s="9" t="n">
        <v>155.99</v>
      </c>
      <c r="H162" s="9" t="n">
        <v>117.22</v>
      </c>
      <c r="I162" s="8" t="n">
        <v>1.6</v>
      </c>
      <c r="J162" s="8" t="s">
        <v>77</v>
      </c>
      <c r="K162" s="8" t="s">
        <v>78</v>
      </c>
    </row>
    <row r="163" customFormat="false" ht="15" hidden="false" customHeight="false" outlineLevel="0" collapsed="false">
      <c r="A163" s="8" t="n">
        <v>100162</v>
      </c>
      <c r="B163" s="8" t="s">
        <v>82</v>
      </c>
      <c r="C163" s="8" t="s">
        <v>83</v>
      </c>
      <c r="D163" s="8" t="s">
        <v>63</v>
      </c>
      <c r="E163" s="8" t="s">
        <v>47</v>
      </c>
      <c r="F163" s="8" t="s">
        <v>200</v>
      </c>
      <c r="G163" s="9" t="n">
        <v>228.98</v>
      </c>
      <c r="H163" s="9" t="n">
        <v>115.82</v>
      </c>
      <c r="I163" s="8" t="n">
        <v>2.1</v>
      </c>
      <c r="J163" s="8" t="s">
        <v>77</v>
      </c>
      <c r="K163" s="8" t="s">
        <v>78</v>
      </c>
    </row>
    <row r="164" customFormat="false" ht="15" hidden="false" customHeight="false" outlineLevel="0" collapsed="false">
      <c r="A164" s="8" t="n">
        <v>100163</v>
      </c>
      <c r="B164" s="8" t="s">
        <v>104</v>
      </c>
      <c r="C164" s="8" t="s">
        <v>86</v>
      </c>
      <c r="D164" s="8" t="s">
        <v>62</v>
      </c>
      <c r="E164" s="8" t="s">
        <v>41</v>
      </c>
      <c r="F164" s="8" t="s">
        <v>218</v>
      </c>
      <c r="G164" s="9" t="n">
        <v>171.95</v>
      </c>
      <c r="H164" s="9" t="n">
        <v>88.99</v>
      </c>
      <c r="I164" s="8" t="n">
        <v>2.8</v>
      </c>
      <c r="J164" s="8" t="s">
        <v>77</v>
      </c>
      <c r="K164" s="8" t="s">
        <v>78</v>
      </c>
    </row>
    <row r="165" customFormat="false" ht="15" hidden="false" customHeight="false" outlineLevel="0" collapsed="false">
      <c r="A165" s="8" t="n">
        <v>100164</v>
      </c>
      <c r="B165" s="8" t="s">
        <v>99</v>
      </c>
      <c r="C165" s="8" t="s">
        <v>100</v>
      </c>
      <c r="D165" s="8" t="s">
        <v>65</v>
      </c>
      <c r="E165" s="8" t="s">
        <v>55</v>
      </c>
      <c r="F165" s="8" t="s">
        <v>176</v>
      </c>
      <c r="G165" s="9" t="n">
        <v>83.82</v>
      </c>
      <c r="H165" s="9" t="n">
        <v>0</v>
      </c>
      <c r="I165" s="8" t="n">
        <v>0.7</v>
      </c>
      <c r="J165" s="8" t="s">
        <v>116</v>
      </c>
      <c r="K165" s="8" t="s">
        <v>120</v>
      </c>
    </row>
    <row r="166" customFormat="false" ht="15" hidden="false" customHeight="false" outlineLevel="0" collapsed="false">
      <c r="A166" s="8" t="n">
        <v>100165</v>
      </c>
      <c r="B166" s="8" t="s">
        <v>85</v>
      </c>
      <c r="C166" s="8" t="s">
        <v>86</v>
      </c>
      <c r="D166" s="8" t="s">
        <v>62</v>
      </c>
      <c r="E166" s="8" t="s">
        <v>51</v>
      </c>
      <c r="F166" s="8" t="s">
        <v>212</v>
      </c>
      <c r="G166" s="9" t="n">
        <v>16.53</v>
      </c>
      <c r="H166" s="9" t="n">
        <v>13.81</v>
      </c>
      <c r="I166" s="8" t="n">
        <v>0.3</v>
      </c>
      <c r="J166" s="8" t="s">
        <v>77</v>
      </c>
      <c r="K166" s="8" t="s">
        <v>78</v>
      </c>
    </row>
    <row r="167" customFormat="false" ht="15" hidden="false" customHeight="false" outlineLevel="0" collapsed="false">
      <c r="A167" s="8" t="n">
        <v>100166</v>
      </c>
      <c r="B167" s="8" t="s">
        <v>85</v>
      </c>
      <c r="C167" s="8" t="s">
        <v>86</v>
      </c>
      <c r="D167" s="8" t="s">
        <v>65</v>
      </c>
      <c r="E167" s="8" t="s">
        <v>39</v>
      </c>
      <c r="F167" s="8" t="s">
        <v>219</v>
      </c>
      <c r="G167" s="9" t="n">
        <v>212.8</v>
      </c>
      <c r="H167" s="9" t="n">
        <v>168.28</v>
      </c>
      <c r="I167" s="8" t="n">
        <v>1.92</v>
      </c>
      <c r="J167" s="8" t="s">
        <v>77</v>
      </c>
      <c r="K167" s="8" t="s">
        <v>78</v>
      </c>
    </row>
    <row r="168" customFormat="false" ht="15" hidden="false" customHeight="false" outlineLevel="0" collapsed="false">
      <c r="A168" s="8" t="n">
        <v>100167</v>
      </c>
      <c r="B168" s="8" t="s">
        <v>74</v>
      </c>
      <c r="C168" s="8" t="s">
        <v>75</v>
      </c>
      <c r="D168" s="8" t="s">
        <v>65</v>
      </c>
      <c r="E168" s="8" t="s">
        <v>55</v>
      </c>
      <c r="F168" s="8" t="s">
        <v>220</v>
      </c>
      <c r="G168" s="9" t="n">
        <v>85.45</v>
      </c>
      <c r="H168" s="9" t="n">
        <v>63.09</v>
      </c>
      <c r="I168" s="8" t="n">
        <v>0.7</v>
      </c>
      <c r="J168" s="8" t="s">
        <v>77</v>
      </c>
      <c r="K168" s="8" t="s">
        <v>78</v>
      </c>
    </row>
    <row r="169" customFormat="false" ht="15" hidden="false" customHeight="false" outlineLevel="0" collapsed="false">
      <c r="A169" s="8" t="n">
        <v>100168</v>
      </c>
      <c r="B169" s="8" t="s">
        <v>99</v>
      </c>
      <c r="C169" s="8" t="s">
        <v>100</v>
      </c>
      <c r="D169" s="8" t="s">
        <v>65</v>
      </c>
      <c r="E169" s="8" t="s">
        <v>43</v>
      </c>
      <c r="F169" s="8" t="s">
        <v>221</v>
      </c>
      <c r="G169" s="9" t="n">
        <v>187.73</v>
      </c>
      <c r="H169" s="9" t="n">
        <v>141.19</v>
      </c>
      <c r="I169" s="8" t="n">
        <v>1.6</v>
      </c>
      <c r="J169" s="8" t="s">
        <v>77</v>
      </c>
      <c r="K169" s="8" t="s">
        <v>78</v>
      </c>
    </row>
    <row r="170" customFormat="false" ht="15" hidden="false" customHeight="false" outlineLevel="0" collapsed="false">
      <c r="A170" s="8" t="n">
        <v>100169</v>
      </c>
      <c r="B170" s="8" t="s">
        <v>85</v>
      </c>
      <c r="C170" s="8" t="s">
        <v>86</v>
      </c>
      <c r="D170" s="8" t="s">
        <v>61</v>
      </c>
      <c r="E170" s="8" t="s">
        <v>53</v>
      </c>
      <c r="F170" s="8" t="s">
        <v>222</v>
      </c>
      <c r="G170" s="9" t="n">
        <v>48.99</v>
      </c>
      <c r="H170" s="9" t="n">
        <v>30.54</v>
      </c>
      <c r="I170" s="8" t="n">
        <v>0.5</v>
      </c>
      <c r="J170" s="8" t="s">
        <v>77</v>
      </c>
      <c r="K170" s="8" t="s">
        <v>78</v>
      </c>
    </row>
    <row r="171" customFormat="false" ht="15" hidden="false" customHeight="false" outlineLevel="0" collapsed="false">
      <c r="A171" s="8" t="n">
        <v>100170</v>
      </c>
      <c r="B171" s="8" t="s">
        <v>93</v>
      </c>
      <c r="C171" s="8" t="s">
        <v>83</v>
      </c>
      <c r="D171" s="8" t="s">
        <v>63</v>
      </c>
      <c r="E171" s="8" t="s">
        <v>47</v>
      </c>
      <c r="F171" s="8" t="s">
        <v>129</v>
      </c>
      <c r="G171" s="9" t="n">
        <v>242.28</v>
      </c>
      <c r="H171" s="9" t="n">
        <v>129.55</v>
      </c>
      <c r="I171" s="8" t="n">
        <v>2.1</v>
      </c>
      <c r="J171" s="8" t="s">
        <v>77</v>
      </c>
      <c r="K171" s="8" t="s">
        <v>78</v>
      </c>
    </row>
    <row r="172" customFormat="false" ht="15" hidden="false" customHeight="false" outlineLevel="0" collapsed="false">
      <c r="A172" s="8" t="n">
        <v>100171</v>
      </c>
      <c r="B172" s="8" t="s">
        <v>85</v>
      </c>
      <c r="C172" s="8" t="s">
        <v>86</v>
      </c>
      <c r="D172" s="8" t="s">
        <v>61</v>
      </c>
      <c r="E172" s="8" t="s">
        <v>47</v>
      </c>
      <c r="F172" s="8" t="s">
        <v>131</v>
      </c>
      <c r="G172" s="9" t="n">
        <v>172.92</v>
      </c>
      <c r="H172" s="9" t="n">
        <v>146.95</v>
      </c>
      <c r="I172" s="8" t="n">
        <v>2.1</v>
      </c>
      <c r="J172" s="8" t="s">
        <v>77</v>
      </c>
      <c r="K172" s="8" t="s">
        <v>78</v>
      </c>
    </row>
    <row r="173" customFormat="false" ht="15" hidden="false" customHeight="false" outlineLevel="0" collapsed="false">
      <c r="A173" s="8" t="n">
        <v>100172</v>
      </c>
      <c r="B173" s="8" t="s">
        <v>85</v>
      </c>
      <c r="C173" s="8" t="s">
        <v>86</v>
      </c>
      <c r="D173" s="8" t="s">
        <v>61</v>
      </c>
      <c r="E173" s="8" t="s">
        <v>55</v>
      </c>
      <c r="F173" s="8" t="s">
        <v>223</v>
      </c>
      <c r="G173" s="9" t="n">
        <v>69.53</v>
      </c>
      <c r="H173" s="9" t="n">
        <v>48.45</v>
      </c>
      <c r="I173" s="8" t="n">
        <v>0.7</v>
      </c>
      <c r="J173" s="8" t="s">
        <v>77</v>
      </c>
      <c r="K173" s="8" t="s">
        <v>78</v>
      </c>
    </row>
    <row r="174" customFormat="false" ht="15" hidden="false" customHeight="false" outlineLevel="0" collapsed="false">
      <c r="A174" s="8" t="n">
        <v>100173</v>
      </c>
      <c r="B174" s="8" t="s">
        <v>93</v>
      </c>
      <c r="C174" s="8" t="s">
        <v>83</v>
      </c>
      <c r="D174" s="8" t="s">
        <v>65</v>
      </c>
      <c r="E174" s="8" t="s">
        <v>39</v>
      </c>
      <c r="F174" s="8" t="s">
        <v>224</v>
      </c>
      <c r="G174" s="9" t="n">
        <v>212.74</v>
      </c>
      <c r="H174" s="9" t="n">
        <v>142.34</v>
      </c>
      <c r="I174" s="8" t="n">
        <v>1.92</v>
      </c>
      <c r="J174" s="8" t="s">
        <v>77</v>
      </c>
      <c r="K174" s="8" t="s">
        <v>78</v>
      </c>
    </row>
    <row r="175" customFormat="false" ht="15" hidden="false" customHeight="false" outlineLevel="0" collapsed="false">
      <c r="A175" s="8" t="n">
        <v>100174</v>
      </c>
      <c r="B175" s="8" t="s">
        <v>74</v>
      </c>
      <c r="C175" s="8" t="s">
        <v>75</v>
      </c>
      <c r="D175" s="8" t="s">
        <v>64</v>
      </c>
      <c r="E175" s="8" t="s">
        <v>53</v>
      </c>
      <c r="F175" s="8" t="s">
        <v>225</v>
      </c>
      <c r="G175" s="9" t="n">
        <v>57.76</v>
      </c>
      <c r="H175" s="9" t="n">
        <v>43.25</v>
      </c>
      <c r="I175" s="8" t="n">
        <v>0.5</v>
      </c>
      <c r="J175" s="8" t="s">
        <v>77</v>
      </c>
      <c r="K175" s="8" t="s">
        <v>78</v>
      </c>
    </row>
    <row r="176" customFormat="false" ht="15" hidden="false" customHeight="false" outlineLevel="0" collapsed="false">
      <c r="A176" s="8" t="n">
        <v>100175</v>
      </c>
      <c r="B176" s="8" t="s">
        <v>82</v>
      </c>
      <c r="C176" s="8" t="s">
        <v>83</v>
      </c>
      <c r="D176" s="8" t="s">
        <v>62</v>
      </c>
      <c r="E176" s="8" t="s">
        <v>41</v>
      </c>
      <c r="F176" s="8" t="s">
        <v>224</v>
      </c>
      <c r="G176" s="9" t="n">
        <v>147.59</v>
      </c>
      <c r="H176" s="9" t="n">
        <v>96.99</v>
      </c>
      <c r="I176" s="8" t="n">
        <v>2.8</v>
      </c>
      <c r="J176" s="8" t="s">
        <v>77</v>
      </c>
      <c r="K176" s="8" t="s">
        <v>78</v>
      </c>
    </row>
    <row r="177" customFormat="false" ht="15" hidden="false" customHeight="false" outlineLevel="0" collapsed="false">
      <c r="A177" s="8" t="n">
        <v>100176</v>
      </c>
      <c r="B177" s="8" t="s">
        <v>90</v>
      </c>
      <c r="C177" s="8" t="s">
        <v>75</v>
      </c>
      <c r="D177" s="8" t="s">
        <v>63</v>
      </c>
      <c r="E177" s="8" t="s">
        <v>55</v>
      </c>
      <c r="F177" s="8" t="s">
        <v>226</v>
      </c>
      <c r="G177" s="9" t="n">
        <v>61.66</v>
      </c>
      <c r="H177" s="9" t="n">
        <v>52.01</v>
      </c>
      <c r="I177" s="8" t="n">
        <v>0.7</v>
      </c>
      <c r="J177" s="8" t="s">
        <v>77</v>
      </c>
      <c r="K177" s="8" t="s">
        <v>78</v>
      </c>
    </row>
    <row r="178" customFormat="false" ht="15" hidden="false" customHeight="false" outlineLevel="0" collapsed="false">
      <c r="A178" s="8" t="n">
        <v>100177</v>
      </c>
      <c r="B178" s="8" t="s">
        <v>99</v>
      </c>
      <c r="C178" s="8" t="s">
        <v>100</v>
      </c>
      <c r="D178" s="8" t="s">
        <v>61</v>
      </c>
      <c r="E178" s="8" t="s">
        <v>49</v>
      </c>
      <c r="F178" s="8" t="s">
        <v>227</v>
      </c>
      <c r="G178" s="9" t="n">
        <v>15.77</v>
      </c>
      <c r="H178" s="9" t="n">
        <v>13.7</v>
      </c>
      <c r="I178" s="8" t="n">
        <v>0.18</v>
      </c>
      <c r="J178" s="8" t="s">
        <v>77</v>
      </c>
      <c r="K178" s="8" t="s">
        <v>78</v>
      </c>
    </row>
    <row r="179" customFormat="false" ht="15" hidden="false" customHeight="false" outlineLevel="0" collapsed="false">
      <c r="A179" s="8" t="n">
        <v>100178</v>
      </c>
      <c r="B179" s="8" t="s">
        <v>82</v>
      </c>
      <c r="C179" s="8" t="s">
        <v>83</v>
      </c>
      <c r="D179" s="8" t="s">
        <v>65</v>
      </c>
      <c r="E179" s="8" t="s">
        <v>43</v>
      </c>
      <c r="F179" s="8" t="s">
        <v>165</v>
      </c>
      <c r="G179" s="9" t="n">
        <v>186.94</v>
      </c>
      <c r="H179" s="9" t="n">
        <v>147.92</v>
      </c>
      <c r="I179" s="8" t="n">
        <v>1.6</v>
      </c>
      <c r="J179" s="8" t="s">
        <v>77</v>
      </c>
      <c r="K179" s="8" t="s">
        <v>78</v>
      </c>
    </row>
    <row r="180" customFormat="false" ht="15" hidden="false" customHeight="false" outlineLevel="0" collapsed="false">
      <c r="A180" s="8" t="n">
        <v>100179</v>
      </c>
      <c r="B180" s="8" t="s">
        <v>99</v>
      </c>
      <c r="C180" s="8" t="s">
        <v>100</v>
      </c>
      <c r="D180" s="8" t="s">
        <v>64</v>
      </c>
      <c r="E180" s="8" t="s">
        <v>45</v>
      </c>
      <c r="F180" s="8" t="s">
        <v>109</v>
      </c>
      <c r="G180" s="9" t="n">
        <v>345.04</v>
      </c>
      <c r="H180" s="9" t="n">
        <v>225.34</v>
      </c>
      <c r="I180" s="8" t="n">
        <v>2.6</v>
      </c>
      <c r="J180" s="8" t="s">
        <v>77</v>
      </c>
      <c r="K180" s="8" t="s">
        <v>78</v>
      </c>
    </row>
    <row r="181" customFormat="false" ht="15" hidden="false" customHeight="false" outlineLevel="0" collapsed="false">
      <c r="A181" s="8" t="n">
        <v>100180</v>
      </c>
      <c r="B181" s="8" t="s">
        <v>93</v>
      </c>
      <c r="C181" s="8" t="s">
        <v>83</v>
      </c>
      <c r="D181" s="8" t="s">
        <v>63</v>
      </c>
      <c r="E181" s="8" t="s">
        <v>37</v>
      </c>
      <c r="F181" s="8" t="s">
        <v>228</v>
      </c>
      <c r="G181" s="9" t="n">
        <v>140.98</v>
      </c>
      <c r="H181" s="9" t="n">
        <v>95.66</v>
      </c>
      <c r="I181" s="8" t="n">
        <v>1.3</v>
      </c>
      <c r="J181" s="8" t="s">
        <v>77</v>
      </c>
      <c r="K181" s="8" t="s">
        <v>78</v>
      </c>
    </row>
    <row r="182" customFormat="false" ht="15" hidden="false" customHeight="false" outlineLevel="0" collapsed="false">
      <c r="A182" s="8" t="n">
        <v>100181</v>
      </c>
      <c r="B182" s="8" t="s">
        <v>74</v>
      </c>
      <c r="C182" s="8" t="s">
        <v>75</v>
      </c>
      <c r="D182" s="8" t="s">
        <v>63</v>
      </c>
      <c r="E182" s="8" t="s">
        <v>39</v>
      </c>
      <c r="F182" s="8" t="s">
        <v>229</v>
      </c>
      <c r="G182" s="9" t="n">
        <v>204.6</v>
      </c>
      <c r="H182" s="9" t="n">
        <v>146.88</v>
      </c>
      <c r="I182" s="8" t="n">
        <v>1.92</v>
      </c>
      <c r="J182" s="8" t="s">
        <v>77</v>
      </c>
      <c r="K182" s="8" t="s">
        <v>78</v>
      </c>
    </row>
    <row r="183" customFormat="false" ht="15" hidden="false" customHeight="false" outlineLevel="0" collapsed="false">
      <c r="A183" s="8" t="n">
        <v>100182</v>
      </c>
      <c r="B183" s="8" t="s">
        <v>74</v>
      </c>
      <c r="C183" s="8" t="s">
        <v>75</v>
      </c>
      <c r="D183" s="8" t="s">
        <v>62</v>
      </c>
      <c r="E183" s="8" t="s">
        <v>51</v>
      </c>
      <c r="F183" s="8" t="s">
        <v>230</v>
      </c>
      <c r="G183" s="9" t="n">
        <v>21.67</v>
      </c>
      <c r="H183" s="9" t="n">
        <v>0</v>
      </c>
      <c r="I183" s="8" t="n">
        <v>0.3</v>
      </c>
      <c r="J183" s="8" t="s">
        <v>116</v>
      </c>
      <c r="K183" s="8" t="s">
        <v>155</v>
      </c>
    </row>
    <row r="184" customFormat="false" ht="15" hidden="false" customHeight="false" outlineLevel="0" collapsed="false">
      <c r="A184" s="8" t="n">
        <v>100183</v>
      </c>
      <c r="B184" s="8" t="s">
        <v>79</v>
      </c>
      <c r="C184" s="8" t="s">
        <v>80</v>
      </c>
      <c r="D184" s="8" t="s">
        <v>65</v>
      </c>
      <c r="E184" s="8" t="s">
        <v>47</v>
      </c>
      <c r="F184" s="8" t="s">
        <v>231</v>
      </c>
      <c r="G184" s="9" t="n">
        <v>234.89</v>
      </c>
      <c r="H184" s="9" t="n">
        <v>0</v>
      </c>
      <c r="I184" s="8" t="n">
        <v>2.1</v>
      </c>
      <c r="J184" s="8" t="s">
        <v>98</v>
      </c>
      <c r="K184" s="8" t="s">
        <v>78</v>
      </c>
    </row>
    <row r="185" customFormat="false" ht="15" hidden="false" customHeight="false" outlineLevel="0" collapsed="false">
      <c r="A185" s="8" t="n">
        <v>100184</v>
      </c>
      <c r="B185" s="8" t="s">
        <v>82</v>
      </c>
      <c r="C185" s="8" t="s">
        <v>83</v>
      </c>
      <c r="D185" s="8" t="s">
        <v>61</v>
      </c>
      <c r="E185" s="8" t="s">
        <v>47</v>
      </c>
      <c r="F185" s="8" t="s">
        <v>97</v>
      </c>
      <c r="G185" s="9" t="n">
        <v>227.49</v>
      </c>
      <c r="H185" s="9" t="n">
        <v>147.54</v>
      </c>
      <c r="I185" s="8" t="n">
        <v>2.1</v>
      </c>
      <c r="J185" s="8" t="s">
        <v>77</v>
      </c>
      <c r="K185" s="8" t="s">
        <v>78</v>
      </c>
    </row>
    <row r="186" customFormat="false" ht="15" hidden="false" customHeight="false" outlineLevel="0" collapsed="false">
      <c r="A186" s="8" t="n">
        <v>100185</v>
      </c>
      <c r="B186" s="8" t="s">
        <v>90</v>
      </c>
      <c r="C186" s="8" t="s">
        <v>75</v>
      </c>
      <c r="D186" s="8" t="s">
        <v>63</v>
      </c>
      <c r="E186" s="8" t="s">
        <v>51</v>
      </c>
      <c r="F186" s="8" t="s">
        <v>145</v>
      </c>
      <c r="G186" s="9" t="n">
        <v>32.19</v>
      </c>
      <c r="H186" s="9" t="n">
        <v>17.37</v>
      </c>
      <c r="I186" s="8" t="n">
        <v>0.3</v>
      </c>
      <c r="J186" s="8" t="s">
        <v>77</v>
      </c>
      <c r="K186" s="8" t="s">
        <v>78</v>
      </c>
    </row>
    <row r="187" customFormat="false" ht="15" hidden="false" customHeight="false" outlineLevel="0" collapsed="false">
      <c r="A187" s="8" t="n">
        <v>100186</v>
      </c>
      <c r="B187" s="8" t="s">
        <v>74</v>
      </c>
      <c r="C187" s="8" t="s">
        <v>75</v>
      </c>
      <c r="D187" s="8" t="s">
        <v>61</v>
      </c>
      <c r="E187" s="8" t="s">
        <v>45</v>
      </c>
      <c r="F187" s="8" t="s">
        <v>84</v>
      </c>
      <c r="G187" s="9" t="n">
        <v>221.97</v>
      </c>
      <c r="H187" s="9" t="n">
        <v>203.16</v>
      </c>
      <c r="I187" s="8" t="n">
        <v>2.6</v>
      </c>
      <c r="J187" s="8" t="s">
        <v>77</v>
      </c>
      <c r="K187" s="8" t="s">
        <v>78</v>
      </c>
    </row>
    <row r="188" customFormat="false" ht="15" hidden="false" customHeight="false" outlineLevel="0" collapsed="false">
      <c r="A188" s="8" t="n">
        <v>100187</v>
      </c>
      <c r="B188" s="8" t="s">
        <v>74</v>
      </c>
      <c r="C188" s="8" t="s">
        <v>75</v>
      </c>
      <c r="D188" s="8" t="s">
        <v>63</v>
      </c>
      <c r="E188" s="8" t="s">
        <v>43</v>
      </c>
      <c r="F188" s="8" t="s">
        <v>232</v>
      </c>
      <c r="G188" s="9" t="n">
        <v>154.26</v>
      </c>
      <c r="H188" s="9" t="n">
        <v>122.12</v>
      </c>
      <c r="I188" s="8" t="n">
        <v>1.6</v>
      </c>
      <c r="J188" s="8" t="s">
        <v>77</v>
      </c>
      <c r="K188" s="8" t="s">
        <v>78</v>
      </c>
    </row>
    <row r="189" customFormat="false" ht="15" hidden="false" customHeight="false" outlineLevel="0" collapsed="false">
      <c r="A189" s="8" t="n">
        <v>100188</v>
      </c>
      <c r="B189" s="8" t="s">
        <v>74</v>
      </c>
      <c r="C189" s="8" t="s">
        <v>75</v>
      </c>
      <c r="D189" s="8" t="s">
        <v>61</v>
      </c>
      <c r="E189" s="8" t="s">
        <v>51</v>
      </c>
      <c r="F189" s="8" t="s">
        <v>188</v>
      </c>
      <c r="G189" s="9" t="n">
        <v>29.79</v>
      </c>
      <c r="H189" s="9" t="n">
        <v>20.67</v>
      </c>
      <c r="I189" s="8" t="n">
        <v>0.3</v>
      </c>
      <c r="J189" s="8" t="s">
        <v>77</v>
      </c>
      <c r="K189" s="8" t="s">
        <v>78</v>
      </c>
    </row>
    <row r="190" customFormat="false" ht="15" hidden="false" customHeight="false" outlineLevel="0" collapsed="false">
      <c r="A190" s="8" t="n">
        <v>100189</v>
      </c>
      <c r="B190" s="8" t="s">
        <v>104</v>
      </c>
      <c r="C190" s="8" t="s">
        <v>86</v>
      </c>
      <c r="D190" s="8" t="s">
        <v>64</v>
      </c>
      <c r="E190" s="8" t="s">
        <v>37</v>
      </c>
      <c r="F190" s="8" t="s">
        <v>209</v>
      </c>
      <c r="G190" s="9" t="n">
        <v>168.35</v>
      </c>
      <c r="H190" s="9" t="n">
        <v>119.16</v>
      </c>
      <c r="I190" s="8" t="n">
        <v>1.3</v>
      </c>
      <c r="J190" s="8" t="s">
        <v>77</v>
      </c>
      <c r="K190" s="8" t="s">
        <v>78</v>
      </c>
    </row>
    <row r="191" customFormat="false" ht="15" hidden="false" customHeight="false" outlineLevel="0" collapsed="false">
      <c r="A191" s="8" t="n">
        <v>100190</v>
      </c>
      <c r="B191" s="8" t="s">
        <v>85</v>
      </c>
      <c r="C191" s="8" t="s">
        <v>86</v>
      </c>
      <c r="D191" s="8" t="s">
        <v>61</v>
      </c>
      <c r="E191" s="8" t="s">
        <v>53</v>
      </c>
      <c r="F191" s="8" t="s">
        <v>233</v>
      </c>
      <c r="G191" s="9" t="n">
        <v>47.42</v>
      </c>
      <c r="H191" s="9" t="n">
        <v>33.02</v>
      </c>
      <c r="I191" s="8" t="n">
        <v>0.5</v>
      </c>
      <c r="J191" s="8" t="s">
        <v>77</v>
      </c>
      <c r="K191" s="8" t="s">
        <v>78</v>
      </c>
    </row>
    <row r="192" customFormat="false" ht="15" hidden="false" customHeight="false" outlineLevel="0" collapsed="false">
      <c r="A192" s="8" t="n">
        <v>100191</v>
      </c>
      <c r="B192" s="8" t="s">
        <v>90</v>
      </c>
      <c r="C192" s="8" t="s">
        <v>75</v>
      </c>
      <c r="D192" s="8" t="s">
        <v>64</v>
      </c>
      <c r="E192" s="8" t="s">
        <v>47</v>
      </c>
      <c r="F192" s="8" t="s">
        <v>234</v>
      </c>
      <c r="G192" s="9" t="n">
        <v>236.39</v>
      </c>
      <c r="H192" s="9" t="n">
        <v>143.8</v>
      </c>
      <c r="I192" s="8" t="n">
        <v>2.1</v>
      </c>
      <c r="J192" s="8" t="s">
        <v>77</v>
      </c>
      <c r="K192" s="8" t="s">
        <v>78</v>
      </c>
    </row>
    <row r="193" customFormat="false" ht="15" hidden="false" customHeight="false" outlineLevel="0" collapsed="false">
      <c r="A193" s="8" t="n">
        <v>100192</v>
      </c>
      <c r="B193" s="8" t="s">
        <v>85</v>
      </c>
      <c r="C193" s="8" t="s">
        <v>86</v>
      </c>
      <c r="D193" s="8" t="s">
        <v>62</v>
      </c>
      <c r="E193" s="8" t="s">
        <v>37</v>
      </c>
      <c r="F193" s="8" t="s">
        <v>146</v>
      </c>
      <c r="G193" s="9" t="n">
        <v>79.82</v>
      </c>
      <c r="H193" s="9" t="n">
        <v>62.21</v>
      </c>
      <c r="I193" s="8" t="n">
        <v>1.3</v>
      </c>
      <c r="J193" s="8" t="s">
        <v>77</v>
      </c>
      <c r="K193" s="8" t="s">
        <v>78</v>
      </c>
    </row>
    <row r="194" customFormat="false" ht="15" hidden="false" customHeight="false" outlineLevel="0" collapsed="false">
      <c r="A194" s="8" t="n">
        <v>100193</v>
      </c>
      <c r="B194" s="8" t="s">
        <v>99</v>
      </c>
      <c r="C194" s="8" t="s">
        <v>100</v>
      </c>
      <c r="D194" s="8" t="s">
        <v>62</v>
      </c>
      <c r="E194" s="8" t="s">
        <v>41</v>
      </c>
      <c r="F194" s="8" t="s">
        <v>201</v>
      </c>
      <c r="G194" s="9" t="n">
        <v>142.59</v>
      </c>
      <c r="H194" s="9" t="n">
        <v>119.5</v>
      </c>
      <c r="I194" s="8" t="n">
        <v>2.8</v>
      </c>
      <c r="J194" s="8" t="s">
        <v>77</v>
      </c>
      <c r="K194" s="8" t="s">
        <v>78</v>
      </c>
    </row>
    <row r="195" customFormat="false" ht="15" hidden="false" customHeight="false" outlineLevel="0" collapsed="false">
      <c r="A195" s="8" t="n">
        <v>100194</v>
      </c>
      <c r="B195" s="8" t="s">
        <v>82</v>
      </c>
      <c r="C195" s="8" t="s">
        <v>83</v>
      </c>
      <c r="D195" s="8" t="s">
        <v>61</v>
      </c>
      <c r="E195" s="8" t="s">
        <v>47</v>
      </c>
      <c r="F195" s="8" t="s">
        <v>154</v>
      </c>
      <c r="G195" s="9" t="n">
        <v>227.65</v>
      </c>
      <c r="H195" s="9" t="n">
        <v>164.06</v>
      </c>
      <c r="I195" s="8" t="n">
        <v>2.1</v>
      </c>
      <c r="J195" s="8" t="s">
        <v>77</v>
      </c>
      <c r="K195" s="8" t="s">
        <v>78</v>
      </c>
    </row>
    <row r="196" customFormat="false" ht="15" hidden="false" customHeight="false" outlineLevel="0" collapsed="false">
      <c r="A196" s="8" t="n">
        <v>100195</v>
      </c>
      <c r="B196" s="8" t="s">
        <v>90</v>
      </c>
      <c r="C196" s="8" t="s">
        <v>75</v>
      </c>
      <c r="D196" s="8" t="s">
        <v>62</v>
      </c>
      <c r="E196" s="8" t="s">
        <v>45</v>
      </c>
      <c r="F196" s="8" t="s">
        <v>142</v>
      </c>
      <c r="G196" s="9" t="n">
        <v>154.66</v>
      </c>
      <c r="H196" s="9" t="n">
        <v>129.78</v>
      </c>
      <c r="I196" s="8" t="n">
        <v>2.6</v>
      </c>
      <c r="J196" s="8" t="s">
        <v>77</v>
      </c>
      <c r="K196" s="8" t="s">
        <v>78</v>
      </c>
    </row>
    <row r="197" customFormat="false" ht="15" hidden="false" customHeight="false" outlineLevel="0" collapsed="false">
      <c r="A197" s="8" t="n">
        <v>100196</v>
      </c>
      <c r="B197" s="8" t="s">
        <v>85</v>
      </c>
      <c r="C197" s="8" t="s">
        <v>86</v>
      </c>
      <c r="D197" s="8" t="s">
        <v>64</v>
      </c>
      <c r="E197" s="8" t="s">
        <v>49</v>
      </c>
      <c r="F197" s="8" t="s">
        <v>192</v>
      </c>
      <c r="G197" s="9" t="n">
        <v>23.75</v>
      </c>
      <c r="H197" s="9" t="n">
        <v>16.45</v>
      </c>
      <c r="I197" s="8" t="n">
        <v>0.18</v>
      </c>
      <c r="J197" s="8" t="s">
        <v>77</v>
      </c>
      <c r="K197" s="8" t="s">
        <v>78</v>
      </c>
    </row>
    <row r="198" customFormat="false" ht="15" hidden="false" customHeight="false" outlineLevel="0" collapsed="false">
      <c r="A198" s="8" t="n">
        <v>100197</v>
      </c>
      <c r="B198" s="8" t="s">
        <v>99</v>
      </c>
      <c r="C198" s="8" t="s">
        <v>100</v>
      </c>
      <c r="D198" s="8" t="s">
        <v>63</v>
      </c>
      <c r="E198" s="8" t="s">
        <v>53</v>
      </c>
      <c r="F198" s="8" t="s">
        <v>207</v>
      </c>
      <c r="G198" s="9" t="n">
        <v>45.72</v>
      </c>
      <c r="H198" s="9" t="n">
        <v>35.85</v>
      </c>
      <c r="I198" s="8" t="n">
        <v>0.5</v>
      </c>
      <c r="J198" s="8" t="s">
        <v>77</v>
      </c>
      <c r="K198" s="8" t="s">
        <v>78</v>
      </c>
    </row>
    <row r="199" customFormat="false" ht="15" hidden="false" customHeight="false" outlineLevel="0" collapsed="false">
      <c r="A199" s="8" t="n">
        <v>100198</v>
      </c>
      <c r="B199" s="8" t="s">
        <v>104</v>
      </c>
      <c r="C199" s="8" t="s">
        <v>86</v>
      </c>
      <c r="D199" s="8" t="s">
        <v>63</v>
      </c>
      <c r="E199" s="8" t="s">
        <v>39</v>
      </c>
      <c r="F199" s="8" t="s">
        <v>235</v>
      </c>
      <c r="G199" s="9" t="n">
        <v>162.49</v>
      </c>
      <c r="H199" s="9" t="n">
        <v>137.84</v>
      </c>
      <c r="I199" s="8" t="n">
        <v>1.92</v>
      </c>
      <c r="J199" s="8" t="s">
        <v>77</v>
      </c>
      <c r="K199" s="8" t="s">
        <v>78</v>
      </c>
    </row>
    <row r="200" customFormat="false" ht="15" hidden="false" customHeight="false" outlineLevel="0" collapsed="false">
      <c r="A200" s="8" t="n">
        <v>100199</v>
      </c>
      <c r="B200" s="8" t="s">
        <v>93</v>
      </c>
      <c r="C200" s="8" t="s">
        <v>83</v>
      </c>
      <c r="D200" s="8" t="s">
        <v>64</v>
      </c>
      <c r="E200" s="8" t="s">
        <v>47</v>
      </c>
      <c r="F200" s="8" t="s">
        <v>236</v>
      </c>
      <c r="G200" s="9" t="n">
        <v>252.68</v>
      </c>
      <c r="H200" s="9" t="n">
        <v>213.6</v>
      </c>
      <c r="I200" s="8" t="n">
        <v>2.1</v>
      </c>
      <c r="J200" s="8" t="s">
        <v>77</v>
      </c>
      <c r="K200" s="8" t="s">
        <v>78</v>
      </c>
    </row>
    <row r="201" customFormat="false" ht="15" hidden="false" customHeight="false" outlineLevel="0" collapsed="false">
      <c r="A201" s="8" t="n">
        <v>100200</v>
      </c>
      <c r="B201" s="8" t="s">
        <v>104</v>
      </c>
      <c r="C201" s="8" t="s">
        <v>86</v>
      </c>
      <c r="D201" s="8" t="s">
        <v>61</v>
      </c>
      <c r="E201" s="8" t="s">
        <v>39</v>
      </c>
      <c r="F201" s="8" t="s">
        <v>237</v>
      </c>
      <c r="G201" s="9" t="n">
        <v>185.86</v>
      </c>
      <c r="H201" s="9" t="n">
        <v>129.92</v>
      </c>
      <c r="I201" s="8" t="n">
        <v>1.92</v>
      </c>
      <c r="J201" s="8" t="s">
        <v>77</v>
      </c>
      <c r="K201" s="8" t="s">
        <v>78</v>
      </c>
    </row>
    <row r="202" customFormat="false" ht="15" hidden="false" customHeight="false" outlineLevel="0" collapsed="false">
      <c r="A202" s="8" t="n">
        <v>100201</v>
      </c>
      <c r="B202" s="8" t="s">
        <v>90</v>
      </c>
      <c r="C202" s="8" t="s">
        <v>75</v>
      </c>
      <c r="D202" s="8" t="s">
        <v>62</v>
      </c>
      <c r="E202" s="8" t="s">
        <v>55</v>
      </c>
      <c r="F202" s="8" t="s">
        <v>194</v>
      </c>
      <c r="G202" s="9" t="n">
        <v>46.56</v>
      </c>
      <c r="H202" s="9" t="n">
        <v>31.49</v>
      </c>
      <c r="I202" s="8" t="n">
        <v>0.7</v>
      </c>
      <c r="J202" s="8" t="s">
        <v>77</v>
      </c>
      <c r="K202" s="8" t="s">
        <v>78</v>
      </c>
    </row>
    <row r="203" customFormat="false" ht="15" hidden="false" customHeight="false" outlineLevel="0" collapsed="false">
      <c r="A203" s="8" t="n">
        <v>100202</v>
      </c>
      <c r="B203" s="8" t="s">
        <v>85</v>
      </c>
      <c r="C203" s="8" t="s">
        <v>86</v>
      </c>
      <c r="D203" s="8" t="s">
        <v>64</v>
      </c>
      <c r="E203" s="8" t="s">
        <v>55</v>
      </c>
      <c r="F203" s="8" t="s">
        <v>238</v>
      </c>
      <c r="G203" s="9" t="n">
        <v>72.2</v>
      </c>
      <c r="H203" s="9" t="n">
        <v>61.52</v>
      </c>
      <c r="I203" s="8" t="n">
        <v>0.7</v>
      </c>
      <c r="J203" s="8" t="s">
        <v>77</v>
      </c>
      <c r="K203" s="8" t="s">
        <v>78</v>
      </c>
    </row>
    <row r="204" customFormat="false" ht="15" hidden="false" customHeight="false" outlineLevel="0" collapsed="false">
      <c r="A204" s="8" t="n">
        <v>100203</v>
      </c>
      <c r="B204" s="8" t="s">
        <v>74</v>
      </c>
      <c r="C204" s="8" t="s">
        <v>75</v>
      </c>
      <c r="D204" s="8" t="s">
        <v>65</v>
      </c>
      <c r="E204" s="8" t="s">
        <v>41</v>
      </c>
      <c r="F204" s="8" t="s">
        <v>156</v>
      </c>
      <c r="G204" s="9" t="n">
        <v>327.63</v>
      </c>
      <c r="H204" s="9" t="n">
        <v>232.45</v>
      </c>
      <c r="I204" s="8" t="n">
        <v>2.8</v>
      </c>
      <c r="J204" s="8" t="s">
        <v>77</v>
      </c>
      <c r="K204" s="8" t="s">
        <v>78</v>
      </c>
    </row>
    <row r="205" customFormat="false" ht="15" hidden="false" customHeight="false" outlineLevel="0" collapsed="false">
      <c r="A205" s="8" t="n">
        <v>100204</v>
      </c>
      <c r="B205" s="8" t="s">
        <v>90</v>
      </c>
      <c r="C205" s="8" t="s">
        <v>75</v>
      </c>
      <c r="D205" s="8" t="s">
        <v>62</v>
      </c>
      <c r="E205" s="8" t="s">
        <v>51</v>
      </c>
      <c r="F205" s="8" t="s">
        <v>239</v>
      </c>
      <c r="G205" s="9" t="n">
        <v>19.36</v>
      </c>
      <c r="H205" s="9" t="n">
        <v>14.23</v>
      </c>
      <c r="I205" s="8" t="n">
        <v>0.3</v>
      </c>
      <c r="J205" s="8" t="s">
        <v>77</v>
      </c>
      <c r="K205" s="8" t="s">
        <v>78</v>
      </c>
    </row>
    <row r="206" customFormat="false" ht="15" hidden="false" customHeight="false" outlineLevel="0" collapsed="false">
      <c r="A206" s="8" t="n">
        <v>100205</v>
      </c>
      <c r="B206" s="8" t="s">
        <v>82</v>
      </c>
      <c r="C206" s="8" t="s">
        <v>83</v>
      </c>
      <c r="D206" s="8" t="s">
        <v>65</v>
      </c>
      <c r="E206" s="8" t="s">
        <v>45</v>
      </c>
      <c r="F206" s="8" t="s">
        <v>109</v>
      </c>
      <c r="G206" s="9" t="n">
        <v>336.33</v>
      </c>
      <c r="H206" s="9" t="n">
        <v>0</v>
      </c>
      <c r="I206" s="8" t="n">
        <v>2.6</v>
      </c>
      <c r="J206" s="8" t="s">
        <v>98</v>
      </c>
      <c r="K206" s="8" t="s">
        <v>78</v>
      </c>
    </row>
    <row r="207" customFormat="false" ht="15" hidden="false" customHeight="false" outlineLevel="0" collapsed="false">
      <c r="A207" s="8" t="n">
        <v>100206</v>
      </c>
      <c r="B207" s="8" t="s">
        <v>74</v>
      </c>
      <c r="C207" s="8" t="s">
        <v>75</v>
      </c>
      <c r="D207" s="8" t="s">
        <v>62</v>
      </c>
      <c r="E207" s="8" t="s">
        <v>39</v>
      </c>
      <c r="F207" s="8" t="s">
        <v>240</v>
      </c>
      <c r="G207" s="9" t="n">
        <v>113.69</v>
      </c>
      <c r="H207" s="9" t="n">
        <v>81.92</v>
      </c>
      <c r="I207" s="8" t="n">
        <v>1.92</v>
      </c>
      <c r="J207" s="8" t="s">
        <v>77</v>
      </c>
      <c r="K207" s="8" t="s">
        <v>78</v>
      </c>
    </row>
    <row r="208" customFormat="false" ht="15" hidden="false" customHeight="false" outlineLevel="0" collapsed="false">
      <c r="A208" s="8" t="n">
        <v>100207</v>
      </c>
      <c r="B208" s="8" t="s">
        <v>85</v>
      </c>
      <c r="C208" s="8" t="s">
        <v>86</v>
      </c>
      <c r="D208" s="8" t="s">
        <v>61</v>
      </c>
      <c r="E208" s="8" t="s">
        <v>53</v>
      </c>
      <c r="F208" s="8" t="s">
        <v>241</v>
      </c>
      <c r="G208" s="9" t="n">
        <v>47.4</v>
      </c>
      <c r="H208" s="9" t="n">
        <v>39.33</v>
      </c>
      <c r="I208" s="8" t="n">
        <v>0.5</v>
      </c>
      <c r="J208" s="8" t="s">
        <v>77</v>
      </c>
      <c r="K208" s="8" t="s">
        <v>78</v>
      </c>
    </row>
    <row r="209" customFormat="false" ht="15" hidden="false" customHeight="false" outlineLevel="0" collapsed="false">
      <c r="A209" s="8" t="n">
        <v>100208</v>
      </c>
      <c r="B209" s="8" t="s">
        <v>85</v>
      </c>
      <c r="C209" s="8" t="s">
        <v>86</v>
      </c>
      <c r="D209" s="8" t="s">
        <v>65</v>
      </c>
      <c r="E209" s="8" t="s">
        <v>43</v>
      </c>
      <c r="F209" s="8" t="s">
        <v>153</v>
      </c>
      <c r="G209" s="9" t="n">
        <v>174.67</v>
      </c>
      <c r="H209" s="9" t="n">
        <v>147.53</v>
      </c>
      <c r="I209" s="8" t="n">
        <v>1.6</v>
      </c>
      <c r="J209" s="8" t="s">
        <v>77</v>
      </c>
      <c r="K209" s="8" t="s">
        <v>78</v>
      </c>
    </row>
    <row r="210" customFormat="false" ht="15" hidden="false" customHeight="false" outlineLevel="0" collapsed="false">
      <c r="A210" s="8" t="n">
        <v>100209</v>
      </c>
      <c r="B210" s="8" t="s">
        <v>85</v>
      </c>
      <c r="C210" s="8" t="s">
        <v>86</v>
      </c>
      <c r="D210" s="8" t="s">
        <v>65</v>
      </c>
      <c r="E210" s="8" t="s">
        <v>55</v>
      </c>
      <c r="F210" s="8" t="s">
        <v>76</v>
      </c>
      <c r="G210" s="9" t="n">
        <v>81.59</v>
      </c>
      <c r="H210" s="9" t="n">
        <v>62.42</v>
      </c>
      <c r="I210" s="8" t="n">
        <v>0.7</v>
      </c>
      <c r="J210" s="8" t="s">
        <v>77</v>
      </c>
      <c r="K210" s="8" t="s">
        <v>78</v>
      </c>
    </row>
    <row r="211" customFormat="false" ht="15" hidden="false" customHeight="false" outlineLevel="0" collapsed="false">
      <c r="A211" s="8" t="n">
        <v>100210</v>
      </c>
      <c r="B211" s="8" t="s">
        <v>74</v>
      </c>
      <c r="C211" s="8" t="s">
        <v>75</v>
      </c>
      <c r="D211" s="8" t="s">
        <v>63</v>
      </c>
      <c r="E211" s="8" t="s">
        <v>49</v>
      </c>
      <c r="F211" s="8" t="s">
        <v>125</v>
      </c>
      <c r="G211" s="9" t="n">
        <v>20.8</v>
      </c>
      <c r="H211" s="9" t="n">
        <v>13.21</v>
      </c>
      <c r="I211" s="8" t="n">
        <v>0.18</v>
      </c>
      <c r="J211" s="8" t="s">
        <v>77</v>
      </c>
      <c r="K211" s="8" t="s">
        <v>78</v>
      </c>
    </row>
    <row r="212" customFormat="false" ht="15" hidden="false" customHeight="false" outlineLevel="0" collapsed="false">
      <c r="A212" s="8" t="n">
        <v>100211</v>
      </c>
      <c r="B212" s="8" t="s">
        <v>93</v>
      </c>
      <c r="C212" s="8" t="s">
        <v>83</v>
      </c>
      <c r="D212" s="8" t="s">
        <v>63</v>
      </c>
      <c r="E212" s="8" t="s">
        <v>39</v>
      </c>
      <c r="F212" s="8" t="s">
        <v>163</v>
      </c>
      <c r="G212" s="9" t="n">
        <v>185.29</v>
      </c>
      <c r="H212" s="9" t="n">
        <v>140.11</v>
      </c>
      <c r="I212" s="8" t="n">
        <v>1.92</v>
      </c>
      <c r="J212" s="8" t="s">
        <v>77</v>
      </c>
      <c r="K212" s="8" t="s">
        <v>78</v>
      </c>
    </row>
    <row r="213" customFormat="false" ht="15" hidden="false" customHeight="false" outlineLevel="0" collapsed="false">
      <c r="A213" s="8" t="n">
        <v>100212</v>
      </c>
      <c r="B213" s="8" t="s">
        <v>93</v>
      </c>
      <c r="C213" s="8" t="s">
        <v>83</v>
      </c>
      <c r="D213" s="8" t="s">
        <v>64</v>
      </c>
      <c r="E213" s="8" t="s">
        <v>53</v>
      </c>
      <c r="F213" s="8" t="s">
        <v>226</v>
      </c>
      <c r="G213" s="9" t="n">
        <v>68.63</v>
      </c>
      <c r="H213" s="9" t="n">
        <v>43.08</v>
      </c>
      <c r="I213" s="8" t="n">
        <v>0.5</v>
      </c>
      <c r="J213" s="8" t="s">
        <v>77</v>
      </c>
      <c r="K213" s="8" t="s">
        <v>78</v>
      </c>
    </row>
    <row r="214" customFormat="false" ht="15" hidden="false" customHeight="false" outlineLevel="0" collapsed="false">
      <c r="A214" s="8" t="n">
        <v>100213</v>
      </c>
      <c r="B214" s="8" t="s">
        <v>93</v>
      </c>
      <c r="C214" s="8" t="s">
        <v>83</v>
      </c>
      <c r="D214" s="8" t="s">
        <v>63</v>
      </c>
      <c r="E214" s="8" t="s">
        <v>43</v>
      </c>
      <c r="F214" s="8" t="s">
        <v>242</v>
      </c>
      <c r="G214" s="9" t="n">
        <v>156.69</v>
      </c>
      <c r="H214" s="9" t="n">
        <v>0</v>
      </c>
      <c r="I214" s="8" t="n">
        <v>1.6</v>
      </c>
      <c r="J214" s="8" t="s">
        <v>116</v>
      </c>
      <c r="K214" s="8" t="s">
        <v>138</v>
      </c>
    </row>
    <row r="215" customFormat="false" ht="15" hidden="false" customHeight="false" outlineLevel="0" collapsed="false">
      <c r="A215" s="8" t="n">
        <v>100214</v>
      </c>
      <c r="B215" s="8" t="s">
        <v>104</v>
      </c>
      <c r="C215" s="8" t="s">
        <v>86</v>
      </c>
      <c r="D215" s="8" t="s">
        <v>62</v>
      </c>
      <c r="E215" s="8" t="s">
        <v>53</v>
      </c>
      <c r="F215" s="8" t="s">
        <v>243</v>
      </c>
      <c r="G215" s="9" t="n">
        <v>28.02</v>
      </c>
      <c r="H215" s="9" t="n">
        <v>21.46</v>
      </c>
      <c r="I215" s="8" t="n">
        <v>0.5</v>
      </c>
      <c r="J215" s="8" t="s">
        <v>77</v>
      </c>
      <c r="K215" s="8" t="s">
        <v>78</v>
      </c>
    </row>
    <row r="216" customFormat="false" ht="15" hidden="false" customHeight="false" outlineLevel="0" collapsed="false">
      <c r="A216" s="8" t="n">
        <v>100215</v>
      </c>
      <c r="B216" s="8" t="s">
        <v>93</v>
      </c>
      <c r="C216" s="8" t="s">
        <v>83</v>
      </c>
      <c r="D216" s="8" t="s">
        <v>62</v>
      </c>
      <c r="E216" s="8" t="s">
        <v>55</v>
      </c>
      <c r="F216" s="8" t="s">
        <v>180</v>
      </c>
      <c r="G216" s="9" t="n">
        <v>47.18</v>
      </c>
      <c r="H216" s="9" t="n">
        <v>26.01</v>
      </c>
      <c r="I216" s="8" t="n">
        <v>0.7</v>
      </c>
      <c r="J216" s="8" t="s">
        <v>77</v>
      </c>
      <c r="K216" s="8" t="s">
        <v>78</v>
      </c>
    </row>
    <row r="217" customFormat="false" ht="15" hidden="false" customHeight="false" outlineLevel="0" collapsed="false">
      <c r="A217" s="8" t="n">
        <v>100216</v>
      </c>
      <c r="B217" s="8" t="s">
        <v>74</v>
      </c>
      <c r="C217" s="8" t="s">
        <v>75</v>
      </c>
      <c r="D217" s="8" t="s">
        <v>61</v>
      </c>
      <c r="E217" s="8" t="s">
        <v>55</v>
      </c>
      <c r="F217" s="8" t="s">
        <v>244</v>
      </c>
      <c r="G217" s="9" t="n">
        <v>60.92</v>
      </c>
      <c r="H217" s="9" t="n">
        <v>48.34</v>
      </c>
      <c r="I217" s="8" t="n">
        <v>0.7</v>
      </c>
      <c r="J217" s="8" t="s">
        <v>77</v>
      </c>
      <c r="K217" s="8" t="s">
        <v>78</v>
      </c>
    </row>
    <row r="218" customFormat="false" ht="15" hidden="false" customHeight="false" outlineLevel="0" collapsed="false">
      <c r="A218" s="8" t="n">
        <v>100217</v>
      </c>
      <c r="B218" s="8" t="s">
        <v>99</v>
      </c>
      <c r="C218" s="8" t="s">
        <v>100</v>
      </c>
      <c r="D218" s="8" t="s">
        <v>65</v>
      </c>
      <c r="E218" s="8" t="s">
        <v>45</v>
      </c>
      <c r="F218" s="8" t="s">
        <v>152</v>
      </c>
      <c r="G218" s="9" t="n">
        <v>330.94</v>
      </c>
      <c r="H218" s="9" t="n">
        <v>234.24</v>
      </c>
      <c r="I218" s="8" t="n">
        <v>2.6</v>
      </c>
      <c r="J218" s="8" t="s">
        <v>77</v>
      </c>
      <c r="K218" s="8" t="s">
        <v>78</v>
      </c>
    </row>
    <row r="219" customFormat="false" ht="15" hidden="false" customHeight="false" outlineLevel="0" collapsed="false">
      <c r="A219" s="8" t="n">
        <v>100218</v>
      </c>
      <c r="B219" s="8" t="s">
        <v>104</v>
      </c>
      <c r="C219" s="8" t="s">
        <v>86</v>
      </c>
      <c r="D219" s="8" t="s">
        <v>64</v>
      </c>
      <c r="E219" s="8" t="s">
        <v>39</v>
      </c>
      <c r="F219" s="8" t="s">
        <v>159</v>
      </c>
      <c r="G219" s="9" t="n">
        <v>240.88</v>
      </c>
      <c r="H219" s="9" t="n">
        <v>164.65</v>
      </c>
      <c r="I219" s="8" t="n">
        <v>1.92</v>
      </c>
      <c r="J219" s="8" t="s">
        <v>77</v>
      </c>
      <c r="K219" s="8" t="s">
        <v>78</v>
      </c>
    </row>
    <row r="220" customFormat="false" ht="15" hidden="false" customHeight="false" outlineLevel="0" collapsed="false">
      <c r="A220" s="8" t="n">
        <v>100219</v>
      </c>
      <c r="B220" s="8" t="s">
        <v>93</v>
      </c>
      <c r="C220" s="8" t="s">
        <v>83</v>
      </c>
      <c r="D220" s="8" t="s">
        <v>63</v>
      </c>
      <c r="E220" s="8" t="s">
        <v>47</v>
      </c>
      <c r="F220" s="8" t="s">
        <v>197</v>
      </c>
      <c r="G220" s="9" t="n">
        <v>229.46</v>
      </c>
      <c r="H220" s="9" t="n">
        <v>165.79</v>
      </c>
      <c r="I220" s="8" t="n">
        <v>2.1</v>
      </c>
      <c r="J220" s="8" t="s">
        <v>77</v>
      </c>
      <c r="K220" s="8" t="s">
        <v>78</v>
      </c>
    </row>
    <row r="221" customFormat="false" ht="15" hidden="false" customHeight="false" outlineLevel="0" collapsed="false">
      <c r="A221" s="8" t="n">
        <v>100220</v>
      </c>
      <c r="B221" s="8" t="s">
        <v>74</v>
      </c>
      <c r="C221" s="8" t="s">
        <v>75</v>
      </c>
      <c r="D221" s="8" t="s">
        <v>63</v>
      </c>
      <c r="E221" s="8" t="s">
        <v>43</v>
      </c>
      <c r="F221" s="8" t="s">
        <v>245</v>
      </c>
      <c r="G221" s="9" t="n">
        <v>163.19</v>
      </c>
      <c r="H221" s="9" t="n">
        <v>117.1</v>
      </c>
      <c r="I221" s="8" t="n">
        <v>1.6</v>
      </c>
      <c r="J221" s="8" t="s">
        <v>77</v>
      </c>
      <c r="K221" s="8" t="s">
        <v>78</v>
      </c>
    </row>
  </sheetData>
  <dataValidations count="4">
    <dataValidation allowBlank="false" error="Please select a valid department from the list." errorStyle="stop" errorTitle="Invalid Department" operator="between" showDropDown="false" showErrorMessage="false" showInputMessage="false" sqref="C2:C221" type="list">
      <formula1>"Nephrology,Cardiology,Internal Medicine,Endocrinology,Family Medicine"</formula1>
      <formula2>0</formula2>
    </dataValidation>
    <dataValidation allowBlank="false" error="Please select a valid payer from the list." errorStyle="stop" errorTitle="Invalid Payer" operator="between" showDropDown="false" showErrorMessage="false" showInputMessage="false" sqref="D2:D221" type="list">
      <formula1>"Medicare,Medicaid,Kaiser HMO,Commercial - Blue Shield,Commercial - Aetna"</formula1>
      <formula2>0</formula2>
    </dataValidation>
    <dataValidation allowBlank="false" errorStyle="stop" operator="between" showDropDown="false" showErrorMessage="false" showInputMessage="false" sqref="J2:J221" type="list">
      <formula1>"Paid,Denied,Pending"</formula1>
      <formula2>0</formula2>
    </dataValidation>
    <dataValidation allowBlank="false" errorStyle="stop" operator="between" showDropDown="false" showErrorMessage="false" showInputMessage="false" sqref="K2:K221" type="list">
      <formula1>"None,Prior Authorization Missing,Coding Error,Timely Filing Limit Exceeded,Eligibility Not Verified,Duplicate Claim"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7" min="6" style="0" width="22"/>
  </cols>
  <sheetData>
    <row r="1" customFormat="false" ht="23.85" hidden="false" customHeight="false" outlineLevel="0" collapsed="false">
      <c r="A1" s="6" t="s">
        <v>66</v>
      </c>
      <c r="B1" s="6" t="s">
        <v>30</v>
      </c>
      <c r="C1" s="6" t="s">
        <v>59</v>
      </c>
      <c r="D1" s="6" t="s">
        <v>71</v>
      </c>
      <c r="E1" s="6" t="s">
        <v>246</v>
      </c>
      <c r="F1" s="6" t="s">
        <v>247</v>
      </c>
      <c r="G1" s="6" t="s">
        <v>248</v>
      </c>
    </row>
    <row r="2" customFormat="false" ht="15" hidden="false" customHeight="false" outlineLevel="0" collapsed="false">
      <c r="A2" s="12" t="n">
        <f aca="false">Claims_Data!A2</f>
        <v>100001</v>
      </c>
      <c r="B2" s="12" t="str">
        <f aca="false">Claims_Data!E2</f>
        <v>99204</v>
      </c>
      <c r="C2" s="12" t="str">
        <f aca="false">Claims_Data!D2</f>
        <v>Medicare</v>
      </c>
      <c r="D2" s="13" t="n">
        <f aca="false">Claims_Data!H2</f>
        <v>180.57</v>
      </c>
      <c r="E2" s="7" t="str">
        <f aca="false">VLOOKUP(B2,Reimbursement_Rates!$A$2:$G$11,2,FALSE())</f>
        <v>Office visit, new patient, moderate complexity</v>
      </c>
      <c r="F2" s="14" t="n">
        <f aca="false">VLOOKUP(B2,Reimbursement_Rates!$A$2:$G$11,4,FALSE())</f>
        <v>178</v>
      </c>
      <c r="G2" s="14" t="n">
        <f aca="false">D2-F2</f>
        <v>2.56999999999999</v>
      </c>
    </row>
    <row r="3" customFormat="false" ht="15" hidden="false" customHeight="false" outlineLevel="0" collapsed="false">
      <c r="A3" s="12" t="n">
        <f aca="false">Claims_Data!A3</f>
        <v>100002</v>
      </c>
      <c r="B3" s="12" t="str">
        <f aca="false">Claims_Data!E3</f>
        <v>99213</v>
      </c>
      <c r="C3" s="12" t="str">
        <f aca="false">Claims_Data!D3</f>
        <v>Medicare</v>
      </c>
      <c r="D3" s="13" t="n">
        <f aca="false">Claims_Data!H3</f>
        <v>92.34</v>
      </c>
      <c r="E3" s="7" t="str">
        <f aca="false">VLOOKUP(B3,Reimbursement_Rates!$A$2:$G$11,2,FALSE())</f>
        <v>Office visit, established patient, low complexity</v>
      </c>
      <c r="F3" s="14" t="n">
        <f aca="false">VLOOKUP(B3,Reimbursement_Rates!$A$2:$G$11,4,FALSE())</f>
        <v>92</v>
      </c>
      <c r="G3" s="14" t="n">
        <f aca="false">D3-F3</f>
        <v>0.340000000000003</v>
      </c>
    </row>
    <row r="4" customFormat="false" ht="15" hidden="false" customHeight="false" outlineLevel="0" collapsed="false">
      <c r="A4" s="12" t="n">
        <f aca="false">Claims_Data!A4</f>
        <v>100003</v>
      </c>
      <c r="B4" s="12" t="str">
        <f aca="false">Claims_Data!E4</f>
        <v>71046</v>
      </c>
      <c r="C4" s="12" t="str">
        <f aca="false">Claims_Data!D4</f>
        <v>Commercial - Blue Shield</v>
      </c>
      <c r="D4" s="13" t="n">
        <f aca="false">Claims_Data!H4</f>
        <v>45.38</v>
      </c>
      <c r="E4" s="7" t="str">
        <f aca="false">VLOOKUP(B4,Reimbursement_Rates!$A$2:$G$11,2,FALSE())</f>
        <v>Chest X-ray, 2 views</v>
      </c>
      <c r="F4" s="14" t="n">
        <f aca="false">VLOOKUP(B4,Reimbursement_Rates!$A$2:$G$11,4,FALSE())</f>
        <v>48</v>
      </c>
      <c r="G4" s="14" t="n">
        <f aca="false">D4-F4</f>
        <v>-2.62</v>
      </c>
    </row>
    <row r="5" customFormat="false" ht="15" hidden="false" customHeight="false" outlineLevel="0" collapsed="false">
      <c r="A5" s="12" t="n">
        <f aca="false">Claims_Data!A5</f>
        <v>100004</v>
      </c>
      <c r="B5" s="12" t="str">
        <f aca="false">Claims_Data!E5</f>
        <v>99215</v>
      </c>
      <c r="C5" s="12" t="str">
        <f aca="false">Claims_Data!D5</f>
        <v>Kaiser HMO</v>
      </c>
      <c r="D5" s="13" t="n">
        <f aca="false">Claims_Data!H5</f>
        <v>194.59</v>
      </c>
      <c r="E5" s="7" t="str">
        <f aca="false">VLOOKUP(B5,Reimbursement_Rates!$A$2:$G$11,2,FALSE())</f>
        <v>Office visit, established patient, high complexity</v>
      </c>
      <c r="F5" s="14" t="n">
        <f aca="false">VLOOKUP(B5,Reimbursement_Rates!$A$2:$G$11,4,FALSE())</f>
        <v>183</v>
      </c>
      <c r="G5" s="14" t="n">
        <f aca="false">D5-F5</f>
        <v>11.59</v>
      </c>
    </row>
    <row r="6" customFormat="false" ht="15" hidden="false" customHeight="false" outlineLevel="0" collapsed="false">
      <c r="A6" s="12" t="n">
        <f aca="false">Claims_Data!A6</f>
        <v>100005</v>
      </c>
      <c r="B6" s="12" t="str">
        <f aca="false">Claims_Data!E6</f>
        <v>99204</v>
      </c>
      <c r="C6" s="12" t="str">
        <f aca="false">Claims_Data!D6</f>
        <v>Commercial - Aetna</v>
      </c>
      <c r="D6" s="13" t="n">
        <f aca="false">Claims_Data!H6</f>
        <v>236.53</v>
      </c>
      <c r="E6" s="7" t="str">
        <f aca="false">VLOOKUP(B6,Reimbursement_Rates!$A$2:$G$11,2,FALSE())</f>
        <v>Office visit, new patient, moderate complexity</v>
      </c>
      <c r="F6" s="14" t="n">
        <f aca="false">VLOOKUP(B6,Reimbursement_Rates!$A$2:$G$11,4,FALSE())</f>
        <v>178</v>
      </c>
      <c r="G6" s="14" t="n">
        <f aca="false">D6-F6</f>
        <v>58.53</v>
      </c>
    </row>
    <row r="7" customFormat="false" ht="15" hidden="false" customHeight="false" outlineLevel="0" collapsed="false">
      <c r="A7" s="12" t="n">
        <f aca="false">Claims_Data!A7</f>
        <v>100006</v>
      </c>
      <c r="B7" s="12" t="str">
        <f aca="false">Claims_Data!E7</f>
        <v>99204</v>
      </c>
      <c r="C7" s="12" t="str">
        <f aca="false">Claims_Data!D7</f>
        <v>Commercial - Aetna</v>
      </c>
      <c r="D7" s="13" t="n">
        <f aca="false">Claims_Data!H7</f>
        <v>261.42</v>
      </c>
      <c r="E7" s="7" t="str">
        <f aca="false">VLOOKUP(B7,Reimbursement_Rates!$A$2:$G$11,2,FALSE())</f>
        <v>Office visit, new patient, moderate complexity</v>
      </c>
      <c r="F7" s="14" t="n">
        <f aca="false">VLOOKUP(B7,Reimbursement_Rates!$A$2:$G$11,4,FALSE())</f>
        <v>178</v>
      </c>
      <c r="G7" s="14" t="n">
        <f aca="false">D7-F7</f>
        <v>83.42</v>
      </c>
    </row>
    <row r="8" customFormat="false" ht="15" hidden="false" customHeight="false" outlineLevel="0" collapsed="false">
      <c r="A8" s="12" t="n">
        <f aca="false">Claims_Data!A8</f>
        <v>100007</v>
      </c>
      <c r="B8" s="12" t="str">
        <f aca="false">Claims_Data!E8</f>
        <v>99204</v>
      </c>
      <c r="C8" s="12" t="str">
        <f aca="false">Claims_Data!D8</f>
        <v>Medicaid</v>
      </c>
      <c r="D8" s="13" t="n">
        <f aca="false">Claims_Data!H8</f>
        <v>130.63</v>
      </c>
      <c r="E8" s="7" t="str">
        <f aca="false">VLOOKUP(B8,Reimbursement_Rates!$A$2:$G$11,2,FALSE())</f>
        <v>Office visit, new patient, moderate complexity</v>
      </c>
      <c r="F8" s="14" t="n">
        <f aca="false">VLOOKUP(B8,Reimbursement_Rates!$A$2:$G$11,4,FALSE())</f>
        <v>178</v>
      </c>
      <c r="G8" s="14" t="n">
        <f aca="false">D8-F8</f>
        <v>-47.37</v>
      </c>
    </row>
    <row r="9" customFormat="false" ht="15" hidden="false" customHeight="false" outlineLevel="0" collapsed="false">
      <c r="A9" s="12" t="n">
        <f aca="false">Claims_Data!A9</f>
        <v>100008</v>
      </c>
      <c r="B9" s="12" t="str">
        <f aca="false">Claims_Data!E9</f>
        <v>90935</v>
      </c>
      <c r="C9" s="12" t="str">
        <f aca="false">Claims_Data!D9</f>
        <v>Medicaid</v>
      </c>
      <c r="D9" s="13" t="n">
        <f aca="false">Claims_Data!H9</f>
        <v>80.32</v>
      </c>
      <c r="E9" s="7" t="str">
        <f aca="false">VLOOKUP(B9,Reimbursement_Rates!$A$2:$G$11,2,FALSE())</f>
        <v>Hemodialysis, single evaluation</v>
      </c>
      <c r="F9" s="14" t="n">
        <f aca="false">VLOOKUP(B9,Reimbursement_Rates!$A$2:$G$11,4,FALSE())</f>
        <v>145</v>
      </c>
      <c r="G9" s="14" t="n">
        <f aca="false">D9-F9</f>
        <v>-64.68</v>
      </c>
    </row>
    <row r="10" customFormat="false" ht="15" hidden="false" customHeight="false" outlineLevel="0" collapsed="false">
      <c r="A10" s="12" t="n">
        <f aca="false">Claims_Data!A10</f>
        <v>100009</v>
      </c>
      <c r="B10" s="12" t="str">
        <f aca="false">Claims_Data!E10</f>
        <v>99203</v>
      </c>
      <c r="C10" s="12" t="str">
        <f aca="false">Claims_Data!D10</f>
        <v>Commercial - Aetna</v>
      </c>
      <c r="D10" s="13" t="n">
        <f aca="false">Claims_Data!H10</f>
        <v>166.17</v>
      </c>
      <c r="E10" s="7" t="str">
        <f aca="false">VLOOKUP(B10,Reimbursement_Rates!$A$2:$G$11,2,FALSE())</f>
        <v>Office visit, new patient, low complexity</v>
      </c>
      <c r="F10" s="14" t="n">
        <f aca="false">VLOOKUP(B10,Reimbursement_Rates!$A$2:$G$11,4,FALSE())</f>
        <v>112</v>
      </c>
      <c r="G10" s="14" t="n">
        <f aca="false">D10-F10</f>
        <v>54.17</v>
      </c>
    </row>
    <row r="11" customFormat="false" ht="15" hidden="false" customHeight="false" outlineLevel="0" collapsed="false">
      <c r="A11" s="12" t="n">
        <f aca="false">Claims_Data!A11</f>
        <v>100010</v>
      </c>
      <c r="B11" s="12" t="str">
        <f aca="false">Claims_Data!E11</f>
        <v>99203</v>
      </c>
      <c r="C11" s="12" t="str">
        <f aca="false">Claims_Data!D11</f>
        <v>Medicare</v>
      </c>
      <c r="D11" s="13" t="n">
        <f aca="false">Claims_Data!H11</f>
        <v>109.08</v>
      </c>
      <c r="E11" s="7" t="str">
        <f aca="false">VLOOKUP(B11,Reimbursement_Rates!$A$2:$G$11,2,FALSE())</f>
        <v>Office visit, new patient, low complexity</v>
      </c>
      <c r="F11" s="14" t="n">
        <f aca="false">VLOOKUP(B11,Reimbursement_Rates!$A$2:$G$11,4,FALSE())</f>
        <v>112</v>
      </c>
      <c r="G11" s="14" t="n">
        <f aca="false">D11-F11</f>
        <v>-2.92</v>
      </c>
    </row>
    <row r="12" customFormat="false" ht="15" hidden="false" customHeight="false" outlineLevel="0" collapsed="false">
      <c r="A12" s="12" t="n">
        <f aca="false">Claims_Data!A12</f>
        <v>100011</v>
      </c>
      <c r="B12" s="12" t="str">
        <f aca="false">Claims_Data!E12</f>
        <v>36415</v>
      </c>
      <c r="C12" s="12" t="str">
        <f aca="false">Claims_Data!D12</f>
        <v>Commercial - Blue Shield</v>
      </c>
      <c r="D12" s="13" t="n">
        <f aca="false">Claims_Data!H12</f>
        <v>15.65</v>
      </c>
      <c r="E12" s="7" t="str">
        <f aca="false">VLOOKUP(B12,Reimbursement_Rates!$A$2:$G$11,2,FALSE())</f>
        <v>Routine venipuncture</v>
      </c>
      <c r="F12" s="14" t="n">
        <f aca="false">VLOOKUP(B12,Reimbursement_Rates!$A$2:$G$11,4,FALSE())</f>
        <v>12</v>
      </c>
      <c r="G12" s="14" t="n">
        <f aca="false">D12-F12</f>
        <v>3.65</v>
      </c>
    </row>
    <row r="13" customFormat="false" ht="15" hidden="false" customHeight="false" outlineLevel="0" collapsed="false">
      <c r="A13" s="12" t="n">
        <f aca="false">Claims_Data!A13</f>
        <v>100012</v>
      </c>
      <c r="B13" s="12" t="str">
        <f aca="false">Claims_Data!E13</f>
        <v>36415</v>
      </c>
      <c r="C13" s="12" t="str">
        <f aca="false">Claims_Data!D13</f>
        <v>Commercial - Aetna</v>
      </c>
      <c r="D13" s="13" t="n">
        <f aca="false">Claims_Data!H13</f>
        <v>0</v>
      </c>
      <c r="E13" s="7" t="str">
        <f aca="false">VLOOKUP(B13,Reimbursement_Rates!$A$2:$G$11,2,FALSE())</f>
        <v>Routine venipuncture</v>
      </c>
      <c r="F13" s="14" t="n">
        <f aca="false">VLOOKUP(B13,Reimbursement_Rates!$A$2:$G$11,4,FALSE())</f>
        <v>12</v>
      </c>
      <c r="G13" s="14" t="n">
        <f aca="false">D13-F13</f>
        <v>-12</v>
      </c>
    </row>
    <row r="14" customFormat="false" ht="15" hidden="false" customHeight="false" outlineLevel="0" collapsed="false">
      <c r="A14" s="12" t="n">
        <f aca="false">Claims_Data!A14</f>
        <v>100013</v>
      </c>
      <c r="B14" s="12" t="str">
        <f aca="false">Claims_Data!E14</f>
        <v>99213</v>
      </c>
      <c r="C14" s="12" t="str">
        <f aca="false">Claims_Data!D14</f>
        <v>Medicare</v>
      </c>
      <c r="D14" s="13" t="n">
        <f aca="false">Claims_Data!H14</f>
        <v>93</v>
      </c>
      <c r="E14" s="7" t="str">
        <f aca="false">VLOOKUP(B14,Reimbursement_Rates!$A$2:$G$11,2,FALSE())</f>
        <v>Office visit, established patient, low complexity</v>
      </c>
      <c r="F14" s="14" t="n">
        <f aca="false">VLOOKUP(B14,Reimbursement_Rates!$A$2:$G$11,4,FALSE())</f>
        <v>92</v>
      </c>
      <c r="G14" s="14" t="n">
        <f aca="false">D14-F14</f>
        <v>1</v>
      </c>
    </row>
    <row r="15" customFormat="false" ht="15" hidden="false" customHeight="false" outlineLevel="0" collapsed="false">
      <c r="A15" s="12" t="n">
        <f aca="false">Claims_Data!A15</f>
        <v>100014</v>
      </c>
      <c r="B15" s="12" t="str">
        <f aca="false">Claims_Data!E15</f>
        <v>71046</v>
      </c>
      <c r="C15" s="12" t="str">
        <f aca="false">Claims_Data!D15</f>
        <v>Commercial - Blue Shield</v>
      </c>
      <c r="D15" s="13" t="n">
        <f aca="false">Claims_Data!H15</f>
        <v>73.11</v>
      </c>
      <c r="E15" s="7" t="str">
        <f aca="false">VLOOKUP(B15,Reimbursement_Rates!$A$2:$G$11,2,FALSE())</f>
        <v>Chest X-ray, 2 views</v>
      </c>
      <c r="F15" s="14" t="n">
        <f aca="false">VLOOKUP(B15,Reimbursement_Rates!$A$2:$G$11,4,FALSE())</f>
        <v>48</v>
      </c>
      <c r="G15" s="14" t="n">
        <f aca="false">D15-F15</f>
        <v>25.11</v>
      </c>
    </row>
    <row r="16" customFormat="false" ht="15" hidden="false" customHeight="false" outlineLevel="0" collapsed="false">
      <c r="A16" s="12" t="n">
        <f aca="false">Claims_Data!A16</f>
        <v>100015</v>
      </c>
      <c r="B16" s="12" t="str">
        <f aca="false">Claims_Data!E16</f>
        <v>99204</v>
      </c>
      <c r="C16" s="12" t="str">
        <f aca="false">Claims_Data!D16</f>
        <v>Commercial - Aetna</v>
      </c>
      <c r="D16" s="13" t="n">
        <f aca="false">Claims_Data!H16</f>
        <v>225.28</v>
      </c>
      <c r="E16" s="7" t="str">
        <f aca="false">VLOOKUP(B16,Reimbursement_Rates!$A$2:$G$11,2,FALSE())</f>
        <v>Office visit, new patient, moderate complexity</v>
      </c>
      <c r="F16" s="14" t="n">
        <f aca="false">VLOOKUP(B16,Reimbursement_Rates!$A$2:$G$11,4,FALSE())</f>
        <v>178</v>
      </c>
      <c r="G16" s="14" t="n">
        <f aca="false">D16-F16</f>
        <v>47.28</v>
      </c>
    </row>
    <row r="17" customFormat="false" ht="15" hidden="false" customHeight="false" outlineLevel="0" collapsed="false">
      <c r="A17" s="12" t="n">
        <f aca="false">Claims_Data!A17</f>
        <v>100016</v>
      </c>
      <c r="B17" s="12" t="str">
        <f aca="false">Claims_Data!E17</f>
        <v>99215</v>
      </c>
      <c r="C17" s="12" t="str">
        <f aca="false">Claims_Data!D17</f>
        <v>Commercial - Aetna</v>
      </c>
      <c r="D17" s="13" t="n">
        <f aca="false">Claims_Data!H17</f>
        <v>240.84</v>
      </c>
      <c r="E17" s="7" t="str">
        <f aca="false">VLOOKUP(B17,Reimbursement_Rates!$A$2:$G$11,2,FALSE())</f>
        <v>Office visit, established patient, high complexity</v>
      </c>
      <c r="F17" s="14" t="n">
        <f aca="false">VLOOKUP(B17,Reimbursement_Rates!$A$2:$G$11,4,FALSE())</f>
        <v>183</v>
      </c>
      <c r="G17" s="14" t="n">
        <f aca="false">D17-F17</f>
        <v>57.84</v>
      </c>
    </row>
    <row r="18" customFormat="false" ht="15" hidden="false" customHeight="false" outlineLevel="0" collapsed="false">
      <c r="A18" s="12" t="n">
        <f aca="false">Claims_Data!A18</f>
        <v>100017</v>
      </c>
      <c r="B18" s="12" t="str">
        <f aca="false">Claims_Data!E18</f>
        <v>90935</v>
      </c>
      <c r="C18" s="12" t="str">
        <f aca="false">Claims_Data!D18</f>
        <v>Medicaid</v>
      </c>
      <c r="D18" s="13" t="n">
        <f aca="false">Claims_Data!H18</f>
        <v>77.38</v>
      </c>
      <c r="E18" s="7" t="str">
        <f aca="false">VLOOKUP(B18,Reimbursement_Rates!$A$2:$G$11,2,FALSE())</f>
        <v>Hemodialysis, single evaluation</v>
      </c>
      <c r="F18" s="14" t="n">
        <f aca="false">VLOOKUP(B18,Reimbursement_Rates!$A$2:$G$11,4,FALSE())</f>
        <v>145</v>
      </c>
      <c r="G18" s="14" t="n">
        <f aca="false">D18-F18</f>
        <v>-67.62</v>
      </c>
    </row>
    <row r="19" customFormat="false" ht="15" hidden="false" customHeight="false" outlineLevel="0" collapsed="false">
      <c r="A19" s="12" t="n">
        <f aca="false">Claims_Data!A19</f>
        <v>100018</v>
      </c>
      <c r="B19" s="12" t="str">
        <f aca="false">Claims_Data!E19</f>
        <v>99213</v>
      </c>
      <c r="C19" s="12" t="str">
        <f aca="false">Claims_Data!D19</f>
        <v>Commercial - Blue Shield</v>
      </c>
      <c r="D19" s="13" t="n">
        <f aca="false">Claims_Data!H19</f>
        <v>138.18</v>
      </c>
      <c r="E19" s="7" t="str">
        <f aca="false">VLOOKUP(B19,Reimbursement_Rates!$A$2:$G$11,2,FALSE())</f>
        <v>Office visit, established patient, low complexity</v>
      </c>
      <c r="F19" s="14" t="n">
        <f aca="false">VLOOKUP(B19,Reimbursement_Rates!$A$2:$G$11,4,FALSE())</f>
        <v>92</v>
      </c>
      <c r="G19" s="14" t="n">
        <f aca="false">D19-F19</f>
        <v>46.18</v>
      </c>
    </row>
    <row r="20" customFormat="false" ht="15" hidden="false" customHeight="false" outlineLevel="0" collapsed="false">
      <c r="A20" s="12" t="n">
        <f aca="false">Claims_Data!A20</f>
        <v>100019</v>
      </c>
      <c r="B20" s="12" t="str">
        <f aca="false">Claims_Data!E20</f>
        <v>71046</v>
      </c>
      <c r="C20" s="12" t="str">
        <f aca="false">Claims_Data!D20</f>
        <v>Medicaid</v>
      </c>
      <c r="D20" s="13" t="n">
        <f aca="false">Claims_Data!H20</f>
        <v>31.17</v>
      </c>
      <c r="E20" s="7" t="str">
        <f aca="false">VLOOKUP(B20,Reimbursement_Rates!$A$2:$G$11,2,FALSE())</f>
        <v>Chest X-ray, 2 views</v>
      </c>
      <c r="F20" s="14" t="n">
        <f aca="false">VLOOKUP(B20,Reimbursement_Rates!$A$2:$G$11,4,FALSE())</f>
        <v>48</v>
      </c>
      <c r="G20" s="14" t="n">
        <f aca="false">D20-F20</f>
        <v>-16.83</v>
      </c>
    </row>
    <row r="21" customFormat="false" ht="15" hidden="false" customHeight="false" outlineLevel="0" collapsed="false">
      <c r="A21" s="12" t="n">
        <f aca="false">Claims_Data!A21</f>
        <v>100020</v>
      </c>
      <c r="B21" s="12" t="str">
        <f aca="false">Claims_Data!E21</f>
        <v>93000</v>
      </c>
      <c r="C21" s="12" t="str">
        <f aca="false">Claims_Data!D21</f>
        <v>Commercial - Blue Shield</v>
      </c>
      <c r="D21" s="13" t="n">
        <f aca="false">Claims_Data!H21</f>
        <v>45.23</v>
      </c>
      <c r="E21" s="7" t="str">
        <f aca="false">VLOOKUP(B21,Reimbursement_Rates!$A$2:$G$11,2,FALSE())</f>
        <v>Electrocardiogram, complete</v>
      </c>
      <c r="F21" s="14" t="n">
        <f aca="false">VLOOKUP(B21,Reimbursement_Rates!$A$2:$G$11,4,FALSE())</f>
        <v>34</v>
      </c>
      <c r="G21" s="14" t="n">
        <f aca="false">D21-F21</f>
        <v>11.23</v>
      </c>
    </row>
    <row r="22" customFormat="false" ht="15" hidden="false" customHeight="false" outlineLevel="0" collapsed="false">
      <c r="A22" s="12" t="n">
        <f aca="false">Claims_Data!A22</f>
        <v>100021</v>
      </c>
      <c r="B22" s="12" t="str">
        <f aca="false">Claims_Data!E22</f>
        <v>90935</v>
      </c>
      <c r="C22" s="12" t="str">
        <f aca="false">Claims_Data!D22</f>
        <v>Commercial - Blue Shield</v>
      </c>
      <c r="D22" s="13" t="n">
        <f aca="false">Claims_Data!H22</f>
        <v>183.91</v>
      </c>
      <c r="E22" s="7" t="str">
        <f aca="false">VLOOKUP(B22,Reimbursement_Rates!$A$2:$G$11,2,FALSE())</f>
        <v>Hemodialysis, single evaluation</v>
      </c>
      <c r="F22" s="14" t="n">
        <f aca="false">VLOOKUP(B22,Reimbursement_Rates!$A$2:$G$11,4,FALSE())</f>
        <v>145</v>
      </c>
      <c r="G22" s="14" t="n">
        <f aca="false">D22-F22</f>
        <v>38.91</v>
      </c>
    </row>
    <row r="23" customFormat="false" ht="15" hidden="false" customHeight="false" outlineLevel="0" collapsed="false">
      <c r="A23" s="12" t="n">
        <f aca="false">Claims_Data!A23</f>
        <v>100022</v>
      </c>
      <c r="B23" s="12" t="str">
        <f aca="false">Claims_Data!E23</f>
        <v>93000</v>
      </c>
      <c r="C23" s="12" t="str">
        <f aca="false">Claims_Data!D23</f>
        <v>Commercial - Aetna</v>
      </c>
      <c r="D23" s="13" t="n">
        <f aca="false">Claims_Data!H23</f>
        <v>44.35</v>
      </c>
      <c r="E23" s="7" t="str">
        <f aca="false">VLOOKUP(B23,Reimbursement_Rates!$A$2:$G$11,2,FALSE())</f>
        <v>Electrocardiogram, complete</v>
      </c>
      <c r="F23" s="14" t="n">
        <f aca="false">VLOOKUP(B23,Reimbursement_Rates!$A$2:$G$11,4,FALSE())</f>
        <v>34</v>
      </c>
      <c r="G23" s="14" t="n">
        <f aca="false">D23-F23</f>
        <v>10.35</v>
      </c>
    </row>
    <row r="24" customFormat="false" ht="15" hidden="false" customHeight="false" outlineLevel="0" collapsed="false">
      <c r="A24" s="12" t="n">
        <f aca="false">Claims_Data!A24</f>
        <v>100023</v>
      </c>
      <c r="B24" s="12" t="str">
        <f aca="false">Claims_Data!E24</f>
        <v>90935</v>
      </c>
      <c r="C24" s="12" t="str">
        <f aca="false">Claims_Data!D24</f>
        <v>Medicare</v>
      </c>
      <c r="D24" s="13" t="n">
        <f aca="false">Claims_Data!H24</f>
        <v>107.71</v>
      </c>
      <c r="E24" s="7" t="str">
        <f aca="false">VLOOKUP(B24,Reimbursement_Rates!$A$2:$G$11,2,FALSE())</f>
        <v>Hemodialysis, single evaluation</v>
      </c>
      <c r="F24" s="14" t="n">
        <f aca="false">VLOOKUP(B24,Reimbursement_Rates!$A$2:$G$11,4,FALSE())</f>
        <v>145</v>
      </c>
      <c r="G24" s="14" t="n">
        <f aca="false">D24-F24</f>
        <v>-37.29</v>
      </c>
    </row>
    <row r="25" customFormat="false" ht="15" hidden="false" customHeight="false" outlineLevel="0" collapsed="false">
      <c r="A25" s="12" t="n">
        <f aca="false">Claims_Data!A25</f>
        <v>100024</v>
      </c>
      <c r="B25" s="12" t="str">
        <f aca="false">Claims_Data!E25</f>
        <v>80053</v>
      </c>
      <c r="C25" s="12" t="str">
        <f aca="false">Claims_Data!D25</f>
        <v>Medicaid</v>
      </c>
      <c r="D25" s="13" t="n">
        <f aca="false">Claims_Data!H25</f>
        <v>13.94</v>
      </c>
      <c r="E25" s="7" t="str">
        <f aca="false">VLOOKUP(B25,Reimbursement_Rates!$A$2:$G$11,2,FALSE())</f>
        <v>Comprehensive metabolic panel</v>
      </c>
      <c r="F25" s="14" t="n">
        <f aca="false">VLOOKUP(B25,Reimbursement_Rates!$A$2:$G$11,4,FALSE())</f>
        <v>21</v>
      </c>
      <c r="G25" s="14" t="n">
        <f aca="false">D25-F25</f>
        <v>-7.06</v>
      </c>
    </row>
    <row r="26" customFormat="false" ht="15" hidden="false" customHeight="false" outlineLevel="0" collapsed="false">
      <c r="A26" s="12" t="n">
        <f aca="false">Claims_Data!A26</f>
        <v>100025</v>
      </c>
      <c r="B26" s="12" t="str">
        <f aca="false">Claims_Data!E26</f>
        <v>99213</v>
      </c>
      <c r="C26" s="12" t="str">
        <f aca="false">Claims_Data!D26</f>
        <v>Commercial - Blue Shield</v>
      </c>
      <c r="D26" s="13" t="n">
        <f aca="false">Claims_Data!H26</f>
        <v>0</v>
      </c>
      <c r="E26" s="7" t="str">
        <f aca="false">VLOOKUP(B26,Reimbursement_Rates!$A$2:$G$11,2,FALSE())</f>
        <v>Office visit, established patient, low complexity</v>
      </c>
      <c r="F26" s="14" t="n">
        <f aca="false">VLOOKUP(B26,Reimbursement_Rates!$A$2:$G$11,4,FALSE())</f>
        <v>92</v>
      </c>
      <c r="G26" s="14" t="n">
        <f aca="false">D26-F26</f>
        <v>-92</v>
      </c>
    </row>
    <row r="27" customFormat="false" ht="15" hidden="false" customHeight="false" outlineLevel="0" collapsed="false">
      <c r="A27" s="12" t="n">
        <f aca="false">Claims_Data!A27</f>
        <v>100026</v>
      </c>
      <c r="B27" s="12" t="str">
        <f aca="false">Claims_Data!E27</f>
        <v>90935</v>
      </c>
      <c r="C27" s="12" t="str">
        <f aca="false">Claims_Data!D27</f>
        <v>Commercial - Blue Shield</v>
      </c>
      <c r="D27" s="13" t="n">
        <f aca="false">Claims_Data!H27</f>
        <v>187.41</v>
      </c>
      <c r="E27" s="7" t="str">
        <f aca="false">VLOOKUP(B27,Reimbursement_Rates!$A$2:$G$11,2,FALSE())</f>
        <v>Hemodialysis, single evaluation</v>
      </c>
      <c r="F27" s="14" t="n">
        <f aca="false">VLOOKUP(B27,Reimbursement_Rates!$A$2:$G$11,4,FALSE())</f>
        <v>145</v>
      </c>
      <c r="G27" s="14" t="n">
        <f aca="false">D27-F27</f>
        <v>42.41</v>
      </c>
    </row>
    <row r="28" customFormat="false" ht="15" hidden="false" customHeight="false" outlineLevel="0" collapsed="false">
      <c r="A28" s="12" t="n">
        <f aca="false">Claims_Data!A28</f>
        <v>100027</v>
      </c>
      <c r="B28" s="12" t="str">
        <f aca="false">Claims_Data!E28</f>
        <v>99204</v>
      </c>
      <c r="C28" s="12" t="str">
        <f aca="false">Claims_Data!D28</f>
        <v>Medicaid</v>
      </c>
      <c r="D28" s="13" t="n">
        <f aca="false">Claims_Data!H28</f>
        <v>120.18</v>
      </c>
      <c r="E28" s="7" t="str">
        <f aca="false">VLOOKUP(B28,Reimbursement_Rates!$A$2:$G$11,2,FALSE())</f>
        <v>Office visit, new patient, moderate complexity</v>
      </c>
      <c r="F28" s="14" t="n">
        <f aca="false">VLOOKUP(B28,Reimbursement_Rates!$A$2:$G$11,4,FALSE())</f>
        <v>178</v>
      </c>
      <c r="G28" s="14" t="n">
        <f aca="false">D28-F28</f>
        <v>-57.82</v>
      </c>
    </row>
    <row r="29" customFormat="false" ht="15" hidden="false" customHeight="false" outlineLevel="0" collapsed="false">
      <c r="A29" s="12" t="n">
        <f aca="false">Claims_Data!A29</f>
        <v>100028</v>
      </c>
      <c r="B29" s="12" t="str">
        <f aca="false">Claims_Data!E29</f>
        <v>99213</v>
      </c>
      <c r="C29" s="12" t="str">
        <f aca="false">Claims_Data!D29</f>
        <v>Commercial - Aetna</v>
      </c>
      <c r="D29" s="13" t="n">
        <f aca="false">Claims_Data!H29</f>
        <v>0</v>
      </c>
      <c r="E29" s="7" t="str">
        <f aca="false">VLOOKUP(B29,Reimbursement_Rates!$A$2:$G$11,2,FALSE())</f>
        <v>Office visit, established patient, low complexity</v>
      </c>
      <c r="F29" s="14" t="n">
        <f aca="false">VLOOKUP(B29,Reimbursement_Rates!$A$2:$G$11,4,FALSE())</f>
        <v>92</v>
      </c>
      <c r="G29" s="14" t="n">
        <f aca="false">D29-F29</f>
        <v>-92</v>
      </c>
    </row>
    <row r="30" customFormat="false" ht="15" hidden="false" customHeight="false" outlineLevel="0" collapsed="false">
      <c r="A30" s="12" t="n">
        <f aca="false">Claims_Data!A30</f>
        <v>100029</v>
      </c>
      <c r="B30" s="12" t="str">
        <f aca="false">Claims_Data!E30</f>
        <v>80053</v>
      </c>
      <c r="C30" s="12" t="str">
        <f aca="false">Claims_Data!D30</f>
        <v>Commercial - Blue Shield</v>
      </c>
      <c r="D30" s="13" t="n">
        <f aca="false">Claims_Data!H30</f>
        <v>26.8</v>
      </c>
      <c r="E30" s="7" t="str">
        <f aca="false">VLOOKUP(B30,Reimbursement_Rates!$A$2:$G$11,2,FALSE())</f>
        <v>Comprehensive metabolic panel</v>
      </c>
      <c r="F30" s="14" t="n">
        <f aca="false">VLOOKUP(B30,Reimbursement_Rates!$A$2:$G$11,4,FALSE())</f>
        <v>21</v>
      </c>
      <c r="G30" s="14" t="n">
        <f aca="false">D30-F30</f>
        <v>5.8</v>
      </c>
    </row>
    <row r="31" customFormat="false" ht="15" hidden="false" customHeight="false" outlineLevel="0" collapsed="false">
      <c r="A31" s="12" t="n">
        <f aca="false">Claims_Data!A31</f>
        <v>100030</v>
      </c>
      <c r="B31" s="12" t="str">
        <f aca="false">Claims_Data!E31</f>
        <v>99204</v>
      </c>
      <c r="C31" s="12" t="str">
        <f aca="false">Claims_Data!D31</f>
        <v>Commercial - Blue Shield</v>
      </c>
      <c r="D31" s="13" t="n">
        <f aca="false">Claims_Data!H31</f>
        <v>0</v>
      </c>
      <c r="E31" s="7" t="str">
        <f aca="false">VLOOKUP(B31,Reimbursement_Rates!$A$2:$G$11,2,FALSE())</f>
        <v>Office visit, new patient, moderate complexity</v>
      </c>
      <c r="F31" s="14" t="n">
        <f aca="false">VLOOKUP(B31,Reimbursement_Rates!$A$2:$G$11,4,FALSE())</f>
        <v>178</v>
      </c>
      <c r="G31" s="14" t="n">
        <f aca="false">D31-F31</f>
        <v>-178</v>
      </c>
    </row>
    <row r="32" customFormat="false" ht="15" hidden="false" customHeight="false" outlineLevel="0" collapsed="false">
      <c r="A32" s="12" t="n">
        <f aca="false">Claims_Data!A32</f>
        <v>100031</v>
      </c>
      <c r="B32" s="12" t="str">
        <f aca="false">Claims_Data!E32</f>
        <v>99204</v>
      </c>
      <c r="C32" s="12" t="str">
        <f aca="false">Claims_Data!D32</f>
        <v>Medicaid</v>
      </c>
      <c r="D32" s="13" t="n">
        <f aca="false">Claims_Data!H32</f>
        <v>84.04</v>
      </c>
      <c r="E32" s="7" t="str">
        <f aca="false">VLOOKUP(B32,Reimbursement_Rates!$A$2:$G$11,2,FALSE())</f>
        <v>Office visit, new patient, moderate complexity</v>
      </c>
      <c r="F32" s="14" t="n">
        <f aca="false">VLOOKUP(B32,Reimbursement_Rates!$A$2:$G$11,4,FALSE())</f>
        <v>178</v>
      </c>
      <c r="G32" s="14" t="n">
        <f aca="false">D32-F32</f>
        <v>-93.96</v>
      </c>
    </row>
    <row r="33" customFormat="false" ht="15" hidden="false" customHeight="false" outlineLevel="0" collapsed="false">
      <c r="A33" s="12" t="n">
        <f aca="false">Claims_Data!A33</f>
        <v>100032</v>
      </c>
      <c r="B33" s="12" t="str">
        <f aca="false">Claims_Data!E33</f>
        <v>71046</v>
      </c>
      <c r="C33" s="12" t="str">
        <f aca="false">Claims_Data!D33</f>
        <v>Medicare</v>
      </c>
      <c r="D33" s="13" t="n">
        <f aca="false">Claims_Data!H33</f>
        <v>46.72</v>
      </c>
      <c r="E33" s="7" t="str">
        <f aca="false">VLOOKUP(B33,Reimbursement_Rates!$A$2:$G$11,2,FALSE())</f>
        <v>Chest X-ray, 2 views</v>
      </c>
      <c r="F33" s="14" t="n">
        <f aca="false">VLOOKUP(B33,Reimbursement_Rates!$A$2:$G$11,4,FALSE())</f>
        <v>48</v>
      </c>
      <c r="G33" s="14" t="n">
        <f aca="false">D33-F33</f>
        <v>-1.28</v>
      </c>
    </row>
    <row r="34" customFormat="false" ht="15" hidden="false" customHeight="false" outlineLevel="0" collapsed="false">
      <c r="A34" s="12" t="n">
        <f aca="false">Claims_Data!A34</f>
        <v>100033</v>
      </c>
      <c r="B34" s="12" t="str">
        <f aca="false">Claims_Data!E34</f>
        <v>99214</v>
      </c>
      <c r="C34" s="12" t="str">
        <f aca="false">Claims_Data!D34</f>
        <v>Medicaid</v>
      </c>
      <c r="D34" s="13" t="n">
        <f aca="false">Claims_Data!H34</f>
        <v>82.08</v>
      </c>
      <c r="E34" s="7" t="str">
        <f aca="false">VLOOKUP(B34,Reimbursement_Rates!$A$2:$G$11,2,FALSE())</f>
        <v>Office visit, established patient, moderate complexity</v>
      </c>
      <c r="F34" s="14" t="n">
        <f aca="false">VLOOKUP(B34,Reimbursement_Rates!$A$2:$G$11,4,FALSE())</f>
        <v>128</v>
      </c>
      <c r="G34" s="14" t="n">
        <f aca="false">D34-F34</f>
        <v>-45.92</v>
      </c>
    </row>
    <row r="35" customFormat="false" ht="15" hidden="false" customHeight="false" outlineLevel="0" collapsed="false">
      <c r="A35" s="12" t="n">
        <f aca="false">Claims_Data!A35</f>
        <v>100034</v>
      </c>
      <c r="B35" s="12" t="str">
        <f aca="false">Claims_Data!E35</f>
        <v>99214</v>
      </c>
      <c r="C35" s="12" t="str">
        <f aca="false">Claims_Data!D35</f>
        <v>Commercial - Aetna</v>
      </c>
      <c r="D35" s="13" t="n">
        <f aca="false">Claims_Data!H35</f>
        <v>169.3</v>
      </c>
      <c r="E35" s="7" t="str">
        <f aca="false">VLOOKUP(B35,Reimbursement_Rates!$A$2:$G$11,2,FALSE())</f>
        <v>Office visit, established patient, moderate complexity</v>
      </c>
      <c r="F35" s="14" t="n">
        <f aca="false">VLOOKUP(B35,Reimbursement_Rates!$A$2:$G$11,4,FALSE())</f>
        <v>128</v>
      </c>
      <c r="G35" s="14" t="n">
        <f aca="false">D35-F35</f>
        <v>41.3</v>
      </c>
    </row>
    <row r="36" customFormat="false" ht="15" hidden="false" customHeight="false" outlineLevel="0" collapsed="false">
      <c r="A36" s="12" t="n">
        <f aca="false">Claims_Data!A36</f>
        <v>100035</v>
      </c>
      <c r="B36" s="12" t="str">
        <f aca="false">Claims_Data!E36</f>
        <v>99204</v>
      </c>
      <c r="C36" s="12" t="str">
        <f aca="false">Claims_Data!D36</f>
        <v>Medicaid</v>
      </c>
      <c r="D36" s="13" t="n">
        <f aca="false">Claims_Data!H36</f>
        <v>116.7</v>
      </c>
      <c r="E36" s="7" t="str">
        <f aca="false">VLOOKUP(B36,Reimbursement_Rates!$A$2:$G$11,2,FALSE())</f>
        <v>Office visit, new patient, moderate complexity</v>
      </c>
      <c r="F36" s="14" t="n">
        <f aca="false">VLOOKUP(B36,Reimbursement_Rates!$A$2:$G$11,4,FALSE())</f>
        <v>178</v>
      </c>
      <c r="G36" s="14" t="n">
        <f aca="false">D36-F36</f>
        <v>-61.3</v>
      </c>
    </row>
    <row r="37" customFormat="false" ht="15" hidden="false" customHeight="false" outlineLevel="0" collapsed="false">
      <c r="A37" s="12" t="n">
        <f aca="false">Claims_Data!A37</f>
        <v>100036</v>
      </c>
      <c r="B37" s="12" t="str">
        <f aca="false">Claims_Data!E37</f>
        <v>71046</v>
      </c>
      <c r="C37" s="12" t="str">
        <f aca="false">Claims_Data!D37</f>
        <v>Commercial - Blue Shield</v>
      </c>
      <c r="D37" s="13" t="n">
        <f aca="false">Claims_Data!H37</f>
        <v>0</v>
      </c>
      <c r="E37" s="7" t="str">
        <f aca="false">VLOOKUP(B37,Reimbursement_Rates!$A$2:$G$11,2,FALSE())</f>
        <v>Chest X-ray, 2 views</v>
      </c>
      <c r="F37" s="14" t="n">
        <f aca="false">VLOOKUP(B37,Reimbursement_Rates!$A$2:$G$11,4,FALSE())</f>
        <v>48</v>
      </c>
      <c r="G37" s="14" t="n">
        <f aca="false">D37-F37</f>
        <v>-48</v>
      </c>
    </row>
    <row r="38" customFormat="false" ht="15" hidden="false" customHeight="false" outlineLevel="0" collapsed="false">
      <c r="A38" s="12" t="n">
        <f aca="false">Claims_Data!A38</f>
        <v>100037</v>
      </c>
      <c r="B38" s="12" t="str">
        <f aca="false">Claims_Data!E38</f>
        <v>99204</v>
      </c>
      <c r="C38" s="12" t="str">
        <f aca="false">Claims_Data!D38</f>
        <v>Commercial - Aetna</v>
      </c>
      <c r="D38" s="13" t="n">
        <f aca="false">Claims_Data!H38</f>
        <v>226.47</v>
      </c>
      <c r="E38" s="7" t="str">
        <f aca="false">VLOOKUP(B38,Reimbursement_Rates!$A$2:$G$11,2,FALSE())</f>
        <v>Office visit, new patient, moderate complexity</v>
      </c>
      <c r="F38" s="14" t="n">
        <f aca="false">VLOOKUP(B38,Reimbursement_Rates!$A$2:$G$11,4,FALSE())</f>
        <v>178</v>
      </c>
      <c r="G38" s="14" t="n">
        <f aca="false">D38-F38</f>
        <v>48.47</v>
      </c>
    </row>
    <row r="39" customFormat="false" ht="15" hidden="false" customHeight="false" outlineLevel="0" collapsed="false">
      <c r="A39" s="12" t="n">
        <f aca="false">Claims_Data!A39</f>
        <v>100038</v>
      </c>
      <c r="B39" s="12" t="str">
        <f aca="false">Claims_Data!E39</f>
        <v>93000</v>
      </c>
      <c r="C39" s="12" t="str">
        <f aca="false">Claims_Data!D39</f>
        <v>Commercial - Blue Shield</v>
      </c>
      <c r="D39" s="13" t="n">
        <f aca="false">Claims_Data!H39</f>
        <v>50.52</v>
      </c>
      <c r="E39" s="7" t="str">
        <f aca="false">VLOOKUP(B39,Reimbursement_Rates!$A$2:$G$11,2,FALSE())</f>
        <v>Electrocardiogram, complete</v>
      </c>
      <c r="F39" s="14" t="n">
        <f aca="false">VLOOKUP(B39,Reimbursement_Rates!$A$2:$G$11,4,FALSE())</f>
        <v>34</v>
      </c>
      <c r="G39" s="14" t="n">
        <f aca="false">D39-F39</f>
        <v>16.52</v>
      </c>
    </row>
    <row r="40" customFormat="false" ht="15" hidden="false" customHeight="false" outlineLevel="0" collapsed="false">
      <c r="A40" s="12" t="n">
        <f aca="false">Claims_Data!A40</f>
        <v>100039</v>
      </c>
      <c r="B40" s="12" t="str">
        <f aca="false">Claims_Data!E40</f>
        <v>99215</v>
      </c>
      <c r="C40" s="12" t="str">
        <f aca="false">Claims_Data!D40</f>
        <v>Medicare</v>
      </c>
      <c r="D40" s="13" t="n">
        <f aca="false">Claims_Data!H40</f>
        <v>133.79</v>
      </c>
      <c r="E40" s="7" t="str">
        <f aca="false">VLOOKUP(B40,Reimbursement_Rates!$A$2:$G$11,2,FALSE())</f>
        <v>Office visit, established patient, high complexity</v>
      </c>
      <c r="F40" s="14" t="n">
        <f aca="false">VLOOKUP(B40,Reimbursement_Rates!$A$2:$G$11,4,FALSE())</f>
        <v>183</v>
      </c>
      <c r="G40" s="14" t="n">
        <f aca="false">D40-F40</f>
        <v>-49.21</v>
      </c>
    </row>
    <row r="41" customFormat="false" ht="15" hidden="false" customHeight="false" outlineLevel="0" collapsed="false">
      <c r="A41" s="12" t="n">
        <f aca="false">Claims_Data!A41</f>
        <v>100040</v>
      </c>
      <c r="B41" s="12" t="str">
        <f aca="false">Claims_Data!E41</f>
        <v>99203</v>
      </c>
      <c r="C41" s="12" t="str">
        <f aca="false">Claims_Data!D41</f>
        <v>Kaiser HMO</v>
      </c>
      <c r="D41" s="13" t="n">
        <f aca="false">Claims_Data!H41</f>
        <v>118.21</v>
      </c>
      <c r="E41" s="7" t="str">
        <f aca="false">VLOOKUP(B41,Reimbursement_Rates!$A$2:$G$11,2,FALSE())</f>
        <v>Office visit, new patient, low complexity</v>
      </c>
      <c r="F41" s="14" t="n">
        <f aca="false">VLOOKUP(B41,Reimbursement_Rates!$A$2:$G$11,4,FALSE())</f>
        <v>112</v>
      </c>
      <c r="G41" s="14" t="n">
        <f aca="false">D41-F41</f>
        <v>6.20999999999999</v>
      </c>
    </row>
    <row r="42" customFormat="false" ht="15" hidden="false" customHeight="false" outlineLevel="0" collapsed="false">
      <c r="A42" s="12" t="n">
        <f aca="false">Claims_Data!A42</f>
        <v>100041</v>
      </c>
      <c r="B42" s="12" t="str">
        <f aca="false">Claims_Data!E42</f>
        <v>99204</v>
      </c>
      <c r="C42" s="12" t="str">
        <f aca="false">Claims_Data!D42</f>
        <v>Commercial - Blue Shield</v>
      </c>
      <c r="D42" s="13" t="n">
        <f aca="false">Claims_Data!H42</f>
        <v>236.62</v>
      </c>
      <c r="E42" s="7" t="str">
        <f aca="false">VLOOKUP(B42,Reimbursement_Rates!$A$2:$G$11,2,FALSE())</f>
        <v>Office visit, new patient, moderate complexity</v>
      </c>
      <c r="F42" s="14" t="n">
        <f aca="false">VLOOKUP(B42,Reimbursement_Rates!$A$2:$G$11,4,FALSE())</f>
        <v>178</v>
      </c>
      <c r="G42" s="14" t="n">
        <f aca="false">D42-F42</f>
        <v>58.62</v>
      </c>
    </row>
    <row r="43" customFormat="false" ht="15" hidden="false" customHeight="false" outlineLevel="0" collapsed="false">
      <c r="A43" s="12" t="n">
        <f aca="false">Claims_Data!A43</f>
        <v>100042</v>
      </c>
      <c r="B43" s="12" t="str">
        <f aca="false">Claims_Data!E43</f>
        <v>36415</v>
      </c>
      <c r="C43" s="12" t="str">
        <f aca="false">Claims_Data!D43</f>
        <v>Commercial - Aetna</v>
      </c>
      <c r="D43" s="13" t="n">
        <f aca="false">Claims_Data!H43</f>
        <v>18.46</v>
      </c>
      <c r="E43" s="7" t="str">
        <f aca="false">VLOOKUP(B43,Reimbursement_Rates!$A$2:$G$11,2,FALSE())</f>
        <v>Routine venipuncture</v>
      </c>
      <c r="F43" s="14" t="n">
        <f aca="false">VLOOKUP(B43,Reimbursement_Rates!$A$2:$G$11,4,FALSE())</f>
        <v>12</v>
      </c>
      <c r="G43" s="14" t="n">
        <f aca="false">D43-F43</f>
        <v>6.46</v>
      </c>
    </row>
    <row r="44" customFormat="false" ht="15" hidden="false" customHeight="false" outlineLevel="0" collapsed="false">
      <c r="A44" s="12" t="n">
        <f aca="false">Claims_Data!A44</f>
        <v>100043</v>
      </c>
      <c r="B44" s="12" t="str">
        <f aca="false">Claims_Data!E44</f>
        <v>71046</v>
      </c>
      <c r="C44" s="12" t="str">
        <f aca="false">Claims_Data!D44</f>
        <v>Kaiser HMO</v>
      </c>
      <c r="D44" s="13" t="n">
        <f aca="false">Claims_Data!H44</f>
        <v>50.59</v>
      </c>
      <c r="E44" s="7" t="str">
        <f aca="false">VLOOKUP(B44,Reimbursement_Rates!$A$2:$G$11,2,FALSE())</f>
        <v>Chest X-ray, 2 views</v>
      </c>
      <c r="F44" s="14" t="n">
        <f aca="false">VLOOKUP(B44,Reimbursement_Rates!$A$2:$G$11,4,FALSE())</f>
        <v>48</v>
      </c>
      <c r="G44" s="14" t="n">
        <f aca="false">D44-F44</f>
        <v>2.59</v>
      </c>
    </row>
    <row r="45" customFormat="false" ht="15" hidden="false" customHeight="false" outlineLevel="0" collapsed="false">
      <c r="A45" s="12" t="n">
        <f aca="false">Claims_Data!A45</f>
        <v>100044</v>
      </c>
      <c r="B45" s="12" t="str">
        <f aca="false">Claims_Data!E45</f>
        <v>99203</v>
      </c>
      <c r="C45" s="12" t="str">
        <f aca="false">Claims_Data!D45</f>
        <v>Medicaid</v>
      </c>
      <c r="D45" s="13" t="n">
        <f aca="false">Claims_Data!H45</f>
        <v>75.66</v>
      </c>
      <c r="E45" s="7" t="str">
        <f aca="false">VLOOKUP(B45,Reimbursement_Rates!$A$2:$G$11,2,FALSE())</f>
        <v>Office visit, new patient, low complexity</v>
      </c>
      <c r="F45" s="14" t="n">
        <f aca="false">VLOOKUP(B45,Reimbursement_Rates!$A$2:$G$11,4,FALSE())</f>
        <v>112</v>
      </c>
      <c r="G45" s="14" t="n">
        <f aca="false">D45-F45</f>
        <v>-36.34</v>
      </c>
    </row>
    <row r="46" customFormat="false" ht="15" hidden="false" customHeight="false" outlineLevel="0" collapsed="false">
      <c r="A46" s="12" t="n">
        <f aca="false">Claims_Data!A46</f>
        <v>100045</v>
      </c>
      <c r="B46" s="12" t="str">
        <f aca="false">Claims_Data!E46</f>
        <v>99215</v>
      </c>
      <c r="C46" s="12" t="str">
        <f aca="false">Claims_Data!D46</f>
        <v>Medicaid</v>
      </c>
      <c r="D46" s="13" t="n">
        <f aca="false">Claims_Data!H46</f>
        <v>92.74</v>
      </c>
      <c r="E46" s="7" t="str">
        <f aca="false">VLOOKUP(B46,Reimbursement_Rates!$A$2:$G$11,2,FALSE())</f>
        <v>Office visit, established patient, high complexity</v>
      </c>
      <c r="F46" s="14" t="n">
        <f aca="false">VLOOKUP(B46,Reimbursement_Rates!$A$2:$G$11,4,FALSE())</f>
        <v>183</v>
      </c>
      <c r="G46" s="14" t="n">
        <f aca="false">D46-F46</f>
        <v>-90.26</v>
      </c>
    </row>
    <row r="47" customFormat="false" ht="15" hidden="false" customHeight="false" outlineLevel="0" collapsed="false">
      <c r="A47" s="12" t="n">
        <f aca="false">Claims_Data!A47</f>
        <v>100046</v>
      </c>
      <c r="B47" s="12" t="str">
        <f aca="false">Claims_Data!E47</f>
        <v>99215</v>
      </c>
      <c r="C47" s="12" t="str">
        <f aca="false">Claims_Data!D47</f>
        <v>Kaiser HMO</v>
      </c>
      <c r="D47" s="13" t="n">
        <f aca="false">Claims_Data!H47</f>
        <v>231.04</v>
      </c>
      <c r="E47" s="7" t="str">
        <f aca="false">VLOOKUP(B47,Reimbursement_Rates!$A$2:$G$11,2,FALSE())</f>
        <v>Office visit, established patient, high complexity</v>
      </c>
      <c r="F47" s="14" t="n">
        <f aca="false">VLOOKUP(B47,Reimbursement_Rates!$A$2:$G$11,4,FALSE())</f>
        <v>183</v>
      </c>
      <c r="G47" s="14" t="n">
        <f aca="false">D47-F47</f>
        <v>48.04</v>
      </c>
    </row>
    <row r="48" customFormat="false" ht="15" hidden="false" customHeight="false" outlineLevel="0" collapsed="false">
      <c r="A48" s="12" t="n">
        <f aca="false">Claims_Data!A48</f>
        <v>100047</v>
      </c>
      <c r="B48" s="12" t="str">
        <f aca="false">Claims_Data!E48</f>
        <v>90935</v>
      </c>
      <c r="C48" s="12" t="str">
        <f aca="false">Claims_Data!D48</f>
        <v>Commercial - Blue Shield</v>
      </c>
      <c r="D48" s="13" t="n">
        <f aca="false">Claims_Data!H48</f>
        <v>181.66</v>
      </c>
      <c r="E48" s="7" t="str">
        <f aca="false">VLOOKUP(B48,Reimbursement_Rates!$A$2:$G$11,2,FALSE())</f>
        <v>Hemodialysis, single evaluation</v>
      </c>
      <c r="F48" s="14" t="n">
        <f aca="false">VLOOKUP(B48,Reimbursement_Rates!$A$2:$G$11,4,FALSE())</f>
        <v>145</v>
      </c>
      <c r="G48" s="14" t="n">
        <f aca="false">D48-F48</f>
        <v>36.66</v>
      </c>
    </row>
    <row r="49" customFormat="false" ht="15" hidden="false" customHeight="false" outlineLevel="0" collapsed="false">
      <c r="A49" s="12" t="n">
        <f aca="false">Claims_Data!A49</f>
        <v>100048</v>
      </c>
      <c r="B49" s="12" t="str">
        <f aca="false">Claims_Data!E49</f>
        <v>99204</v>
      </c>
      <c r="C49" s="12" t="str">
        <f aca="false">Claims_Data!D49</f>
        <v>Kaiser HMO</v>
      </c>
      <c r="D49" s="13" t="n">
        <f aca="false">Claims_Data!H49</f>
        <v>0</v>
      </c>
      <c r="E49" s="7" t="str">
        <f aca="false">VLOOKUP(B49,Reimbursement_Rates!$A$2:$G$11,2,FALSE())</f>
        <v>Office visit, new patient, moderate complexity</v>
      </c>
      <c r="F49" s="14" t="n">
        <f aca="false">VLOOKUP(B49,Reimbursement_Rates!$A$2:$G$11,4,FALSE())</f>
        <v>178</v>
      </c>
      <c r="G49" s="14" t="n">
        <f aca="false">D49-F49</f>
        <v>-178</v>
      </c>
    </row>
    <row r="50" customFormat="false" ht="15" hidden="false" customHeight="false" outlineLevel="0" collapsed="false">
      <c r="A50" s="12" t="n">
        <f aca="false">Claims_Data!A50</f>
        <v>100049</v>
      </c>
      <c r="B50" s="12" t="str">
        <f aca="false">Claims_Data!E50</f>
        <v>90935</v>
      </c>
      <c r="C50" s="12" t="str">
        <f aca="false">Claims_Data!D50</f>
        <v>Commercial - Aetna</v>
      </c>
      <c r="D50" s="13" t="n">
        <f aca="false">Claims_Data!H50</f>
        <v>201.36</v>
      </c>
      <c r="E50" s="7" t="str">
        <f aca="false">VLOOKUP(B50,Reimbursement_Rates!$A$2:$G$11,2,FALSE())</f>
        <v>Hemodialysis, single evaluation</v>
      </c>
      <c r="F50" s="14" t="n">
        <f aca="false">VLOOKUP(B50,Reimbursement_Rates!$A$2:$G$11,4,FALSE())</f>
        <v>145</v>
      </c>
      <c r="G50" s="14" t="n">
        <f aca="false">D50-F50</f>
        <v>56.36</v>
      </c>
    </row>
    <row r="51" customFormat="false" ht="15" hidden="false" customHeight="false" outlineLevel="0" collapsed="false">
      <c r="A51" s="12" t="n">
        <f aca="false">Claims_Data!A51</f>
        <v>100050</v>
      </c>
      <c r="B51" s="12" t="str">
        <f aca="false">Claims_Data!E51</f>
        <v>71046</v>
      </c>
      <c r="C51" s="12" t="str">
        <f aca="false">Claims_Data!D51</f>
        <v>Medicare</v>
      </c>
      <c r="D51" s="13" t="n">
        <f aca="false">Claims_Data!H51</f>
        <v>48.31</v>
      </c>
      <c r="E51" s="7" t="str">
        <f aca="false">VLOOKUP(B51,Reimbursement_Rates!$A$2:$G$11,2,FALSE())</f>
        <v>Chest X-ray, 2 views</v>
      </c>
      <c r="F51" s="14" t="n">
        <f aca="false">VLOOKUP(B51,Reimbursement_Rates!$A$2:$G$11,4,FALSE())</f>
        <v>48</v>
      </c>
      <c r="G51" s="14" t="n">
        <f aca="false">D51-F51</f>
        <v>0.310000000000002</v>
      </c>
    </row>
    <row r="52" customFormat="false" ht="15" hidden="false" customHeight="false" outlineLevel="0" collapsed="false">
      <c r="A52" s="12" t="n">
        <f aca="false">Claims_Data!A52</f>
        <v>100051</v>
      </c>
      <c r="B52" s="12" t="str">
        <f aca="false">Claims_Data!E52</f>
        <v>71046</v>
      </c>
      <c r="C52" s="12" t="str">
        <f aca="false">Claims_Data!D52</f>
        <v>Commercial - Blue Shield</v>
      </c>
      <c r="D52" s="13" t="n">
        <f aca="false">Claims_Data!H52</f>
        <v>62.07</v>
      </c>
      <c r="E52" s="7" t="str">
        <f aca="false">VLOOKUP(B52,Reimbursement_Rates!$A$2:$G$11,2,FALSE())</f>
        <v>Chest X-ray, 2 views</v>
      </c>
      <c r="F52" s="14" t="n">
        <f aca="false">VLOOKUP(B52,Reimbursement_Rates!$A$2:$G$11,4,FALSE())</f>
        <v>48</v>
      </c>
      <c r="G52" s="14" t="n">
        <f aca="false">D52-F52</f>
        <v>14.07</v>
      </c>
    </row>
    <row r="53" customFormat="false" ht="15" hidden="false" customHeight="false" outlineLevel="0" collapsed="false">
      <c r="A53" s="12" t="n">
        <f aca="false">Claims_Data!A53</f>
        <v>100052</v>
      </c>
      <c r="B53" s="12" t="str">
        <f aca="false">Claims_Data!E53</f>
        <v>99214</v>
      </c>
      <c r="C53" s="12" t="str">
        <f aca="false">Claims_Data!D53</f>
        <v>Commercial - Blue Shield</v>
      </c>
      <c r="D53" s="13" t="n">
        <f aca="false">Claims_Data!H53</f>
        <v>166.62</v>
      </c>
      <c r="E53" s="7" t="str">
        <f aca="false">VLOOKUP(B53,Reimbursement_Rates!$A$2:$G$11,2,FALSE())</f>
        <v>Office visit, established patient, moderate complexity</v>
      </c>
      <c r="F53" s="14" t="n">
        <f aca="false">VLOOKUP(B53,Reimbursement_Rates!$A$2:$G$11,4,FALSE())</f>
        <v>128</v>
      </c>
      <c r="G53" s="14" t="n">
        <f aca="false">D53-F53</f>
        <v>38.62</v>
      </c>
    </row>
    <row r="54" customFormat="false" ht="15" hidden="false" customHeight="false" outlineLevel="0" collapsed="false">
      <c r="A54" s="12" t="n">
        <f aca="false">Claims_Data!A54</f>
        <v>100053</v>
      </c>
      <c r="B54" s="12" t="str">
        <f aca="false">Claims_Data!E54</f>
        <v>99204</v>
      </c>
      <c r="C54" s="12" t="str">
        <f aca="false">Claims_Data!D54</f>
        <v>Commercial - Aetna</v>
      </c>
      <c r="D54" s="13" t="n">
        <f aca="false">Claims_Data!H54</f>
        <v>186.5</v>
      </c>
      <c r="E54" s="7" t="str">
        <f aca="false">VLOOKUP(B54,Reimbursement_Rates!$A$2:$G$11,2,FALSE())</f>
        <v>Office visit, new patient, moderate complexity</v>
      </c>
      <c r="F54" s="14" t="n">
        <f aca="false">VLOOKUP(B54,Reimbursement_Rates!$A$2:$G$11,4,FALSE())</f>
        <v>178</v>
      </c>
      <c r="G54" s="14" t="n">
        <f aca="false">D54-F54</f>
        <v>8.5</v>
      </c>
    </row>
    <row r="55" customFormat="false" ht="15" hidden="false" customHeight="false" outlineLevel="0" collapsed="false">
      <c r="A55" s="12" t="n">
        <f aca="false">Claims_Data!A55</f>
        <v>100054</v>
      </c>
      <c r="B55" s="12" t="str">
        <f aca="false">Claims_Data!E55</f>
        <v>99215</v>
      </c>
      <c r="C55" s="12" t="str">
        <f aca="false">Claims_Data!D55</f>
        <v>Commercial - Blue Shield</v>
      </c>
      <c r="D55" s="13" t="n">
        <f aca="false">Claims_Data!H55</f>
        <v>228.93</v>
      </c>
      <c r="E55" s="7" t="str">
        <f aca="false">VLOOKUP(B55,Reimbursement_Rates!$A$2:$G$11,2,FALSE())</f>
        <v>Office visit, established patient, high complexity</v>
      </c>
      <c r="F55" s="14" t="n">
        <f aca="false">VLOOKUP(B55,Reimbursement_Rates!$A$2:$G$11,4,FALSE())</f>
        <v>183</v>
      </c>
      <c r="G55" s="14" t="n">
        <f aca="false">D55-F55</f>
        <v>45.93</v>
      </c>
    </row>
    <row r="56" customFormat="false" ht="15" hidden="false" customHeight="false" outlineLevel="0" collapsed="false">
      <c r="A56" s="12" t="n">
        <f aca="false">Claims_Data!A56</f>
        <v>100055</v>
      </c>
      <c r="B56" s="12" t="str">
        <f aca="false">Claims_Data!E56</f>
        <v>71046</v>
      </c>
      <c r="C56" s="12" t="str">
        <f aca="false">Claims_Data!D56</f>
        <v>Commercial - Blue Shield</v>
      </c>
      <c r="D56" s="13" t="n">
        <f aca="false">Claims_Data!H56</f>
        <v>62.65</v>
      </c>
      <c r="E56" s="7" t="str">
        <f aca="false">VLOOKUP(B56,Reimbursement_Rates!$A$2:$G$11,2,FALSE())</f>
        <v>Chest X-ray, 2 views</v>
      </c>
      <c r="F56" s="14" t="n">
        <f aca="false">VLOOKUP(B56,Reimbursement_Rates!$A$2:$G$11,4,FALSE())</f>
        <v>48</v>
      </c>
      <c r="G56" s="14" t="n">
        <f aca="false">D56-F56</f>
        <v>14.65</v>
      </c>
    </row>
    <row r="57" customFormat="false" ht="15" hidden="false" customHeight="false" outlineLevel="0" collapsed="false">
      <c r="A57" s="12" t="n">
        <f aca="false">Claims_Data!A57</f>
        <v>100056</v>
      </c>
      <c r="B57" s="12" t="str">
        <f aca="false">Claims_Data!E57</f>
        <v>99214</v>
      </c>
      <c r="C57" s="12" t="str">
        <f aca="false">Claims_Data!D57</f>
        <v>Medicaid</v>
      </c>
      <c r="D57" s="13" t="n">
        <f aca="false">Claims_Data!H57</f>
        <v>81.95</v>
      </c>
      <c r="E57" s="7" t="str">
        <f aca="false">VLOOKUP(B57,Reimbursement_Rates!$A$2:$G$11,2,FALSE())</f>
        <v>Office visit, established patient, moderate complexity</v>
      </c>
      <c r="F57" s="14" t="n">
        <f aca="false">VLOOKUP(B57,Reimbursement_Rates!$A$2:$G$11,4,FALSE())</f>
        <v>128</v>
      </c>
      <c r="G57" s="14" t="n">
        <f aca="false">D57-F57</f>
        <v>-46.05</v>
      </c>
    </row>
    <row r="58" customFormat="false" ht="15" hidden="false" customHeight="false" outlineLevel="0" collapsed="false">
      <c r="A58" s="12" t="n">
        <f aca="false">Claims_Data!A58</f>
        <v>100057</v>
      </c>
      <c r="B58" s="12" t="str">
        <f aca="false">Claims_Data!E58</f>
        <v>99203</v>
      </c>
      <c r="C58" s="12" t="str">
        <f aca="false">Claims_Data!D58</f>
        <v>Medicaid</v>
      </c>
      <c r="D58" s="13" t="n">
        <f aca="false">Claims_Data!H58</f>
        <v>84.49</v>
      </c>
      <c r="E58" s="7" t="str">
        <f aca="false">VLOOKUP(B58,Reimbursement_Rates!$A$2:$G$11,2,FALSE())</f>
        <v>Office visit, new patient, low complexity</v>
      </c>
      <c r="F58" s="14" t="n">
        <f aca="false">VLOOKUP(B58,Reimbursement_Rates!$A$2:$G$11,4,FALSE())</f>
        <v>112</v>
      </c>
      <c r="G58" s="14" t="n">
        <f aca="false">D58-F58</f>
        <v>-27.51</v>
      </c>
    </row>
    <row r="59" customFormat="false" ht="15" hidden="false" customHeight="false" outlineLevel="0" collapsed="false">
      <c r="A59" s="12" t="n">
        <f aca="false">Claims_Data!A59</f>
        <v>100058</v>
      </c>
      <c r="B59" s="12" t="str">
        <f aca="false">Claims_Data!E59</f>
        <v>71046</v>
      </c>
      <c r="C59" s="12" t="str">
        <f aca="false">Claims_Data!D59</f>
        <v>Commercial - Blue Shield</v>
      </c>
      <c r="D59" s="13" t="n">
        <f aca="false">Claims_Data!H59</f>
        <v>61.05</v>
      </c>
      <c r="E59" s="7" t="str">
        <f aca="false">VLOOKUP(B59,Reimbursement_Rates!$A$2:$G$11,2,FALSE())</f>
        <v>Chest X-ray, 2 views</v>
      </c>
      <c r="F59" s="14" t="n">
        <f aca="false">VLOOKUP(B59,Reimbursement_Rates!$A$2:$G$11,4,FALSE())</f>
        <v>48</v>
      </c>
      <c r="G59" s="14" t="n">
        <f aca="false">D59-F59</f>
        <v>13.05</v>
      </c>
    </row>
    <row r="60" customFormat="false" ht="15" hidden="false" customHeight="false" outlineLevel="0" collapsed="false">
      <c r="A60" s="12" t="n">
        <f aca="false">Claims_Data!A60</f>
        <v>100059</v>
      </c>
      <c r="B60" s="12" t="str">
        <f aca="false">Claims_Data!E60</f>
        <v>99203</v>
      </c>
      <c r="C60" s="12" t="str">
        <f aca="false">Claims_Data!D60</f>
        <v>Commercial - Blue Shield</v>
      </c>
      <c r="D60" s="13" t="n">
        <f aca="false">Claims_Data!H60</f>
        <v>0</v>
      </c>
      <c r="E60" s="7" t="str">
        <f aca="false">VLOOKUP(B60,Reimbursement_Rates!$A$2:$G$11,2,FALSE())</f>
        <v>Office visit, new patient, low complexity</v>
      </c>
      <c r="F60" s="14" t="n">
        <f aca="false">VLOOKUP(B60,Reimbursement_Rates!$A$2:$G$11,4,FALSE())</f>
        <v>112</v>
      </c>
      <c r="G60" s="14" t="n">
        <f aca="false">D60-F60</f>
        <v>-112</v>
      </c>
    </row>
    <row r="61" customFormat="false" ht="15" hidden="false" customHeight="false" outlineLevel="0" collapsed="false">
      <c r="A61" s="12" t="n">
        <f aca="false">Claims_Data!A61</f>
        <v>100060</v>
      </c>
      <c r="B61" s="12" t="str">
        <f aca="false">Claims_Data!E61</f>
        <v>99203</v>
      </c>
      <c r="C61" s="12" t="str">
        <f aca="false">Claims_Data!D61</f>
        <v>Commercial - Aetna</v>
      </c>
      <c r="D61" s="13" t="n">
        <f aca="false">Claims_Data!H61</f>
        <v>144.69</v>
      </c>
      <c r="E61" s="7" t="str">
        <f aca="false">VLOOKUP(B61,Reimbursement_Rates!$A$2:$G$11,2,FALSE())</f>
        <v>Office visit, new patient, low complexity</v>
      </c>
      <c r="F61" s="14" t="n">
        <f aca="false">VLOOKUP(B61,Reimbursement_Rates!$A$2:$G$11,4,FALSE())</f>
        <v>112</v>
      </c>
      <c r="G61" s="14" t="n">
        <f aca="false">D61-F61</f>
        <v>32.69</v>
      </c>
    </row>
    <row r="62" customFormat="false" ht="15" hidden="false" customHeight="false" outlineLevel="0" collapsed="false">
      <c r="A62" s="12" t="n">
        <f aca="false">Claims_Data!A62</f>
        <v>100061</v>
      </c>
      <c r="B62" s="12" t="str">
        <f aca="false">Claims_Data!E62</f>
        <v>93000</v>
      </c>
      <c r="C62" s="12" t="str">
        <f aca="false">Claims_Data!D62</f>
        <v>Commercial - Aetna</v>
      </c>
      <c r="D62" s="13" t="n">
        <f aca="false">Claims_Data!H62</f>
        <v>43.1</v>
      </c>
      <c r="E62" s="7" t="str">
        <f aca="false">VLOOKUP(B62,Reimbursement_Rates!$A$2:$G$11,2,FALSE())</f>
        <v>Electrocardiogram, complete</v>
      </c>
      <c r="F62" s="14" t="n">
        <f aca="false">VLOOKUP(B62,Reimbursement_Rates!$A$2:$G$11,4,FALSE())</f>
        <v>34</v>
      </c>
      <c r="G62" s="14" t="n">
        <f aca="false">D62-F62</f>
        <v>9.1</v>
      </c>
    </row>
    <row r="63" customFormat="false" ht="15" hidden="false" customHeight="false" outlineLevel="0" collapsed="false">
      <c r="A63" s="12" t="n">
        <f aca="false">Claims_Data!A63</f>
        <v>100062</v>
      </c>
      <c r="B63" s="12" t="str">
        <f aca="false">Claims_Data!E63</f>
        <v>99203</v>
      </c>
      <c r="C63" s="12" t="str">
        <f aca="false">Claims_Data!D63</f>
        <v>Kaiser HMO</v>
      </c>
      <c r="D63" s="13" t="n">
        <f aca="false">Claims_Data!H63</f>
        <v>95.63</v>
      </c>
      <c r="E63" s="7" t="str">
        <f aca="false">VLOOKUP(B63,Reimbursement_Rates!$A$2:$G$11,2,FALSE())</f>
        <v>Office visit, new patient, low complexity</v>
      </c>
      <c r="F63" s="14" t="n">
        <f aca="false">VLOOKUP(B63,Reimbursement_Rates!$A$2:$G$11,4,FALSE())</f>
        <v>112</v>
      </c>
      <c r="G63" s="14" t="n">
        <f aca="false">D63-F63</f>
        <v>-16.37</v>
      </c>
    </row>
    <row r="64" customFormat="false" ht="15" hidden="false" customHeight="false" outlineLevel="0" collapsed="false">
      <c r="A64" s="12" t="n">
        <f aca="false">Claims_Data!A64</f>
        <v>100063</v>
      </c>
      <c r="B64" s="12" t="str">
        <f aca="false">Claims_Data!E64</f>
        <v>99214</v>
      </c>
      <c r="C64" s="12" t="str">
        <f aca="false">Claims_Data!D64</f>
        <v>Commercial - Blue Shield</v>
      </c>
      <c r="D64" s="13" t="n">
        <f aca="false">Claims_Data!H64</f>
        <v>168.89</v>
      </c>
      <c r="E64" s="7" t="str">
        <f aca="false">VLOOKUP(B64,Reimbursement_Rates!$A$2:$G$11,2,FALSE())</f>
        <v>Office visit, established patient, moderate complexity</v>
      </c>
      <c r="F64" s="14" t="n">
        <f aca="false">VLOOKUP(B64,Reimbursement_Rates!$A$2:$G$11,4,FALSE())</f>
        <v>128</v>
      </c>
      <c r="G64" s="14" t="n">
        <f aca="false">D64-F64</f>
        <v>40.89</v>
      </c>
    </row>
    <row r="65" customFormat="false" ht="15" hidden="false" customHeight="false" outlineLevel="0" collapsed="false">
      <c r="A65" s="12" t="n">
        <f aca="false">Claims_Data!A65</f>
        <v>100064</v>
      </c>
      <c r="B65" s="12" t="str">
        <f aca="false">Claims_Data!E65</f>
        <v>99203</v>
      </c>
      <c r="C65" s="12" t="str">
        <f aca="false">Claims_Data!D65</f>
        <v>Medicaid</v>
      </c>
      <c r="D65" s="13" t="n">
        <f aca="false">Claims_Data!H65</f>
        <v>73.62</v>
      </c>
      <c r="E65" s="7" t="str">
        <f aca="false">VLOOKUP(B65,Reimbursement_Rates!$A$2:$G$11,2,FALSE())</f>
        <v>Office visit, new patient, low complexity</v>
      </c>
      <c r="F65" s="14" t="n">
        <f aca="false">VLOOKUP(B65,Reimbursement_Rates!$A$2:$G$11,4,FALSE())</f>
        <v>112</v>
      </c>
      <c r="G65" s="14" t="n">
        <f aca="false">D65-F65</f>
        <v>-38.38</v>
      </c>
    </row>
    <row r="66" customFormat="false" ht="15" hidden="false" customHeight="false" outlineLevel="0" collapsed="false">
      <c r="A66" s="12" t="n">
        <f aca="false">Claims_Data!A66</f>
        <v>100065</v>
      </c>
      <c r="B66" s="12" t="str">
        <f aca="false">Claims_Data!E66</f>
        <v>99213</v>
      </c>
      <c r="C66" s="12" t="str">
        <f aca="false">Claims_Data!D66</f>
        <v>Commercial - Blue Shield</v>
      </c>
      <c r="D66" s="13" t="n">
        <f aca="false">Claims_Data!H66</f>
        <v>134.24</v>
      </c>
      <c r="E66" s="7" t="str">
        <f aca="false">VLOOKUP(B66,Reimbursement_Rates!$A$2:$G$11,2,FALSE())</f>
        <v>Office visit, established patient, low complexity</v>
      </c>
      <c r="F66" s="14" t="n">
        <f aca="false">VLOOKUP(B66,Reimbursement_Rates!$A$2:$G$11,4,FALSE())</f>
        <v>92</v>
      </c>
      <c r="G66" s="14" t="n">
        <f aca="false">D66-F66</f>
        <v>42.24</v>
      </c>
    </row>
    <row r="67" customFormat="false" ht="15" hidden="false" customHeight="false" outlineLevel="0" collapsed="false">
      <c r="A67" s="12" t="n">
        <f aca="false">Claims_Data!A67</f>
        <v>100066</v>
      </c>
      <c r="B67" s="12" t="str">
        <f aca="false">Claims_Data!E67</f>
        <v>99213</v>
      </c>
      <c r="C67" s="12" t="str">
        <f aca="false">Claims_Data!D67</f>
        <v>Commercial - Blue Shield</v>
      </c>
      <c r="D67" s="13" t="n">
        <f aca="false">Claims_Data!H67</f>
        <v>120.77</v>
      </c>
      <c r="E67" s="7" t="str">
        <f aca="false">VLOOKUP(B67,Reimbursement_Rates!$A$2:$G$11,2,FALSE())</f>
        <v>Office visit, established patient, low complexity</v>
      </c>
      <c r="F67" s="14" t="n">
        <f aca="false">VLOOKUP(B67,Reimbursement_Rates!$A$2:$G$11,4,FALSE())</f>
        <v>92</v>
      </c>
      <c r="G67" s="14" t="n">
        <f aca="false">D67-F67</f>
        <v>28.77</v>
      </c>
    </row>
    <row r="68" customFormat="false" ht="15" hidden="false" customHeight="false" outlineLevel="0" collapsed="false">
      <c r="A68" s="12" t="n">
        <f aca="false">Claims_Data!A68</f>
        <v>100067</v>
      </c>
      <c r="B68" s="12" t="str">
        <f aca="false">Claims_Data!E68</f>
        <v>99203</v>
      </c>
      <c r="C68" s="12" t="str">
        <f aca="false">Claims_Data!D68</f>
        <v>Commercial - Blue Shield</v>
      </c>
      <c r="D68" s="13" t="n">
        <f aca="false">Claims_Data!H68</f>
        <v>146.47</v>
      </c>
      <c r="E68" s="7" t="str">
        <f aca="false">VLOOKUP(B68,Reimbursement_Rates!$A$2:$G$11,2,FALSE())</f>
        <v>Office visit, new patient, low complexity</v>
      </c>
      <c r="F68" s="14" t="n">
        <f aca="false">VLOOKUP(B68,Reimbursement_Rates!$A$2:$G$11,4,FALSE())</f>
        <v>112</v>
      </c>
      <c r="G68" s="14" t="n">
        <f aca="false">D68-F68</f>
        <v>34.47</v>
      </c>
    </row>
    <row r="69" customFormat="false" ht="15" hidden="false" customHeight="false" outlineLevel="0" collapsed="false">
      <c r="A69" s="12" t="n">
        <f aca="false">Claims_Data!A69</f>
        <v>100068</v>
      </c>
      <c r="B69" s="12" t="str">
        <f aca="false">Claims_Data!E69</f>
        <v>99215</v>
      </c>
      <c r="C69" s="12" t="str">
        <f aca="false">Claims_Data!D69</f>
        <v>Commercial - Blue Shield</v>
      </c>
      <c r="D69" s="13" t="n">
        <f aca="false">Claims_Data!H69</f>
        <v>268.75</v>
      </c>
      <c r="E69" s="7" t="str">
        <f aca="false">VLOOKUP(B69,Reimbursement_Rates!$A$2:$G$11,2,FALSE())</f>
        <v>Office visit, established patient, high complexity</v>
      </c>
      <c r="F69" s="14" t="n">
        <f aca="false">VLOOKUP(B69,Reimbursement_Rates!$A$2:$G$11,4,FALSE())</f>
        <v>183</v>
      </c>
      <c r="G69" s="14" t="n">
        <f aca="false">D69-F69</f>
        <v>85.75</v>
      </c>
    </row>
    <row r="70" customFormat="false" ht="15" hidden="false" customHeight="false" outlineLevel="0" collapsed="false">
      <c r="A70" s="12" t="n">
        <f aca="false">Claims_Data!A70</f>
        <v>100069</v>
      </c>
      <c r="B70" s="12" t="str">
        <f aca="false">Claims_Data!E70</f>
        <v>99215</v>
      </c>
      <c r="C70" s="12" t="str">
        <f aca="false">Claims_Data!D70</f>
        <v>Commercial - Blue Shield</v>
      </c>
      <c r="D70" s="13" t="n">
        <f aca="false">Claims_Data!H70</f>
        <v>233.56</v>
      </c>
      <c r="E70" s="7" t="str">
        <f aca="false">VLOOKUP(B70,Reimbursement_Rates!$A$2:$G$11,2,FALSE())</f>
        <v>Office visit, established patient, high complexity</v>
      </c>
      <c r="F70" s="14" t="n">
        <f aca="false">VLOOKUP(B70,Reimbursement_Rates!$A$2:$G$11,4,FALSE())</f>
        <v>183</v>
      </c>
      <c r="G70" s="14" t="n">
        <f aca="false">D70-F70</f>
        <v>50.56</v>
      </c>
    </row>
    <row r="71" customFormat="false" ht="15" hidden="false" customHeight="false" outlineLevel="0" collapsed="false">
      <c r="A71" s="12" t="n">
        <f aca="false">Claims_Data!A71</f>
        <v>100070</v>
      </c>
      <c r="B71" s="12" t="str">
        <f aca="false">Claims_Data!E71</f>
        <v>36415</v>
      </c>
      <c r="C71" s="12" t="str">
        <f aca="false">Claims_Data!D71</f>
        <v>Kaiser HMO</v>
      </c>
      <c r="D71" s="13" t="n">
        <f aca="false">Claims_Data!H71</f>
        <v>0</v>
      </c>
      <c r="E71" s="7" t="str">
        <f aca="false">VLOOKUP(B71,Reimbursement_Rates!$A$2:$G$11,2,FALSE())</f>
        <v>Routine venipuncture</v>
      </c>
      <c r="F71" s="14" t="n">
        <f aca="false">VLOOKUP(B71,Reimbursement_Rates!$A$2:$G$11,4,FALSE())</f>
        <v>12</v>
      </c>
      <c r="G71" s="14" t="n">
        <f aca="false">D71-F71</f>
        <v>-12</v>
      </c>
    </row>
    <row r="72" customFormat="false" ht="15" hidden="false" customHeight="false" outlineLevel="0" collapsed="false">
      <c r="A72" s="12" t="n">
        <f aca="false">Claims_Data!A72</f>
        <v>100071</v>
      </c>
      <c r="B72" s="12" t="str">
        <f aca="false">Claims_Data!E72</f>
        <v>99213</v>
      </c>
      <c r="C72" s="12" t="str">
        <f aca="false">Claims_Data!D72</f>
        <v>Commercial - Blue Shield</v>
      </c>
      <c r="D72" s="13" t="n">
        <f aca="false">Claims_Data!H72</f>
        <v>127.87</v>
      </c>
      <c r="E72" s="7" t="str">
        <f aca="false">VLOOKUP(B72,Reimbursement_Rates!$A$2:$G$11,2,FALSE())</f>
        <v>Office visit, established patient, low complexity</v>
      </c>
      <c r="F72" s="14" t="n">
        <f aca="false">VLOOKUP(B72,Reimbursement_Rates!$A$2:$G$11,4,FALSE())</f>
        <v>92</v>
      </c>
      <c r="G72" s="14" t="n">
        <f aca="false">D72-F72</f>
        <v>35.87</v>
      </c>
    </row>
    <row r="73" customFormat="false" ht="15" hidden="false" customHeight="false" outlineLevel="0" collapsed="false">
      <c r="A73" s="12" t="n">
        <f aca="false">Claims_Data!A73</f>
        <v>100072</v>
      </c>
      <c r="B73" s="12" t="str">
        <f aca="false">Claims_Data!E73</f>
        <v>99203</v>
      </c>
      <c r="C73" s="12" t="str">
        <f aca="false">Claims_Data!D73</f>
        <v>Medicare</v>
      </c>
      <c r="D73" s="13" t="n">
        <f aca="false">Claims_Data!H73</f>
        <v>109.49</v>
      </c>
      <c r="E73" s="7" t="str">
        <f aca="false">VLOOKUP(B73,Reimbursement_Rates!$A$2:$G$11,2,FALSE())</f>
        <v>Office visit, new patient, low complexity</v>
      </c>
      <c r="F73" s="14" t="n">
        <f aca="false">VLOOKUP(B73,Reimbursement_Rates!$A$2:$G$11,4,FALSE())</f>
        <v>112</v>
      </c>
      <c r="G73" s="14" t="n">
        <f aca="false">D73-F73</f>
        <v>-2.51000000000001</v>
      </c>
    </row>
    <row r="74" customFormat="false" ht="15" hidden="false" customHeight="false" outlineLevel="0" collapsed="false">
      <c r="A74" s="12" t="n">
        <f aca="false">Claims_Data!A74</f>
        <v>100073</v>
      </c>
      <c r="B74" s="12" t="str">
        <f aca="false">Claims_Data!E74</f>
        <v>99204</v>
      </c>
      <c r="C74" s="12" t="str">
        <f aca="false">Claims_Data!D74</f>
        <v>Commercial - Blue Shield</v>
      </c>
      <c r="D74" s="13" t="n">
        <f aca="false">Claims_Data!H74</f>
        <v>233.42</v>
      </c>
      <c r="E74" s="7" t="str">
        <f aca="false">VLOOKUP(B74,Reimbursement_Rates!$A$2:$G$11,2,FALSE())</f>
        <v>Office visit, new patient, moderate complexity</v>
      </c>
      <c r="F74" s="14" t="n">
        <f aca="false">VLOOKUP(B74,Reimbursement_Rates!$A$2:$G$11,4,FALSE())</f>
        <v>178</v>
      </c>
      <c r="G74" s="14" t="n">
        <f aca="false">D74-F74</f>
        <v>55.42</v>
      </c>
    </row>
    <row r="75" customFormat="false" ht="15" hidden="false" customHeight="false" outlineLevel="0" collapsed="false">
      <c r="A75" s="12" t="n">
        <f aca="false">Claims_Data!A75</f>
        <v>100074</v>
      </c>
      <c r="B75" s="12" t="str">
        <f aca="false">Claims_Data!E75</f>
        <v>99214</v>
      </c>
      <c r="C75" s="12" t="str">
        <f aca="false">Claims_Data!D75</f>
        <v>Kaiser HMO</v>
      </c>
      <c r="D75" s="13" t="n">
        <f aca="false">Claims_Data!H75</f>
        <v>0</v>
      </c>
      <c r="E75" s="7" t="str">
        <f aca="false">VLOOKUP(B75,Reimbursement_Rates!$A$2:$G$11,2,FALSE())</f>
        <v>Office visit, established patient, moderate complexity</v>
      </c>
      <c r="F75" s="14" t="n">
        <f aca="false">VLOOKUP(B75,Reimbursement_Rates!$A$2:$G$11,4,FALSE())</f>
        <v>128</v>
      </c>
      <c r="G75" s="14" t="n">
        <f aca="false">D75-F75</f>
        <v>-128</v>
      </c>
    </row>
    <row r="76" customFormat="false" ht="15" hidden="false" customHeight="false" outlineLevel="0" collapsed="false">
      <c r="A76" s="12" t="n">
        <f aca="false">Claims_Data!A76</f>
        <v>100075</v>
      </c>
      <c r="B76" s="12" t="str">
        <f aca="false">Claims_Data!E76</f>
        <v>99214</v>
      </c>
      <c r="C76" s="12" t="str">
        <f aca="false">Claims_Data!D76</f>
        <v>Medicaid</v>
      </c>
      <c r="D76" s="13" t="n">
        <f aca="false">Claims_Data!H76</f>
        <v>84.99</v>
      </c>
      <c r="E76" s="7" t="str">
        <f aca="false">VLOOKUP(B76,Reimbursement_Rates!$A$2:$G$11,2,FALSE())</f>
        <v>Office visit, established patient, moderate complexity</v>
      </c>
      <c r="F76" s="14" t="n">
        <f aca="false">VLOOKUP(B76,Reimbursement_Rates!$A$2:$G$11,4,FALSE())</f>
        <v>128</v>
      </c>
      <c r="G76" s="14" t="n">
        <f aca="false">D76-F76</f>
        <v>-43.01</v>
      </c>
    </row>
    <row r="77" customFormat="false" ht="15" hidden="false" customHeight="false" outlineLevel="0" collapsed="false">
      <c r="A77" s="12" t="n">
        <f aca="false">Claims_Data!A77</f>
        <v>100076</v>
      </c>
      <c r="B77" s="12" t="str">
        <f aca="false">Claims_Data!E77</f>
        <v>99213</v>
      </c>
      <c r="C77" s="12" t="str">
        <f aca="false">Claims_Data!D77</f>
        <v>Commercial - Aetna</v>
      </c>
      <c r="D77" s="13" t="n">
        <f aca="false">Claims_Data!H77</f>
        <v>118.04</v>
      </c>
      <c r="E77" s="7" t="str">
        <f aca="false">VLOOKUP(B77,Reimbursement_Rates!$A$2:$G$11,2,FALSE())</f>
        <v>Office visit, established patient, low complexity</v>
      </c>
      <c r="F77" s="14" t="n">
        <f aca="false">VLOOKUP(B77,Reimbursement_Rates!$A$2:$G$11,4,FALSE())</f>
        <v>92</v>
      </c>
      <c r="G77" s="14" t="n">
        <f aca="false">D77-F77</f>
        <v>26.04</v>
      </c>
    </row>
    <row r="78" customFormat="false" ht="15" hidden="false" customHeight="false" outlineLevel="0" collapsed="false">
      <c r="A78" s="12" t="n">
        <f aca="false">Claims_Data!A78</f>
        <v>100077</v>
      </c>
      <c r="B78" s="12" t="str">
        <f aca="false">Claims_Data!E78</f>
        <v>80053</v>
      </c>
      <c r="C78" s="12" t="str">
        <f aca="false">Claims_Data!D78</f>
        <v>Commercial - Blue Shield</v>
      </c>
      <c r="D78" s="13" t="n">
        <f aca="false">Claims_Data!H78</f>
        <v>0</v>
      </c>
      <c r="E78" s="7" t="str">
        <f aca="false">VLOOKUP(B78,Reimbursement_Rates!$A$2:$G$11,2,FALSE())</f>
        <v>Comprehensive metabolic panel</v>
      </c>
      <c r="F78" s="14" t="n">
        <f aca="false">VLOOKUP(B78,Reimbursement_Rates!$A$2:$G$11,4,FALSE())</f>
        <v>21</v>
      </c>
      <c r="G78" s="14" t="n">
        <f aca="false">D78-F78</f>
        <v>-21</v>
      </c>
    </row>
    <row r="79" customFormat="false" ht="15" hidden="false" customHeight="false" outlineLevel="0" collapsed="false">
      <c r="A79" s="12" t="n">
        <f aca="false">Claims_Data!A79</f>
        <v>100078</v>
      </c>
      <c r="B79" s="12" t="str">
        <f aca="false">Claims_Data!E79</f>
        <v>93000</v>
      </c>
      <c r="C79" s="12" t="str">
        <f aca="false">Claims_Data!D79</f>
        <v>Medicaid</v>
      </c>
      <c r="D79" s="13" t="n">
        <f aca="false">Claims_Data!H79</f>
        <v>17.77</v>
      </c>
      <c r="E79" s="7" t="str">
        <f aca="false">VLOOKUP(B79,Reimbursement_Rates!$A$2:$G$11,2,FALSE())</f>
        <v>Electrocardiogram, complete</v>
      </c>
      <c r="F79" s="14" t="n">
        <f aca="false">VLOOKUP(B79,Reimbursement_Rates!$A$2:$G$11,4,FALSE())</f>
        <v>34</v>
      </c>
      <c r="G79" s="14" t="n">
        <f aca="false">D79-F79</f>
        <v>-16.23</v>
      </c>
    </row>
    <row r="80" customFormat="false" ht="15" hidden="false" customHeight="false" outlineLevel="0" collapsed="false">
      <c r="A80" s="12" t="n">
        <f aca="false">Claims_Data!A80</f>
        <v>100079</v>
      </c>
      <c r="B80" s="12" t="str">
        <f aca="false">Claims_Data!E80</f>
        <v>71046</v>
      </c>
      <c r="C80" s="12" t="str">
        <f aca="false">Claims_Data!D80</f>
        <v>Commercial - Blue Shield</v>
      </c>
      <c r="D80" s="13" t="n">
        <f aca="false">Claims_Data!H80</f>
        <v>44.47</v>
      </c>
      <c r="E80" s="7" t="str">
        <f aca="false">VLOOKUP(B80,Reimbursement_Rates!$A$2:$G$11,2,FALSE())</f>
        <v>Chest X-ray, 2 views</v>
      </c>
      <c r="F80" s="14" t="n">
        <f aca="false">VLOOKUP(B80,Reimbursement_Rates!$A$2:$G$11,4,FALSE())</f>
        <v>48</v>
      </c>
      <c r="G80" s="14" t="n">
        <f aca="false">D80-F80</f>
        <v>-3.53</v>
      </c>
    </row>
    <row r="81" customFormat="false" ht="15" hidden="false" customHeight="false" outlineLevel="0" collapsed="false">
      <c r="A81" s="12" t="n">
        <f aca="false">Claims_Data!A81</f>
        <v>100080</v>
      </c>
      <c r="B81" s="12" t="str">
        <f aca="false">Claims_Data!E81</f>
        <v>71046</v>
      </c>
      <c r="C81" s="12" t="str">
        <f aca="false">Claims_Data!D81</f>
        <v>Commercial - Blue Shield</v>
      </c>
      <c r="D81" s="13" t="n">
        <f aca="false">Claims_Data!H81</f>
        <v>63.31</v>
      </c>
      <c r="E81" s="7" t="str">
        <f aca="false">VLOOKUP(B81,Reimbursement_Rates!$A$2:$G$11,2,FALSE())</f>
        <v>Chest X-ray, 2 views</v>
      </c>
      <c r="F81" s="14" t="n">
        <f aca="false">VLOOKUP(B81,Reimbursement_Rates!$A$2:$G$11,4,FALSE())</f>
        <v>48</v>
      </c>
      <c r="G81" s="14" t="n">
        <f aca="false">D81-F81</f>
        <v>15.31</v>
      </c>
    </row>
    <row r="82" customFormat="false" ht="15" hidden="false" customHeight="false" outlineLevel="0" collapsed="false">
      <c r="A82" s="12" t="n">
        <f aca="false">Claims_Data!A82</f>
        <v>100081</v>
      </c>
      <c r="B82" s="12" t="str">
        <f aca="false">Claims_Data!E82</f>
        <v>90935</v>
      </c>
      <c r="C82" s="12" t="str">
        <f aca="false">Claims_Data!D82</f>
        <v>Medicaid</v>
      </c>
      <c r="D82" s="13" t="n">
        <f aca="false">Claims_Data!H82</f>
        <v>110.9</v>
      </c>
      <c r="E82" s="7" t="str">
        <f aca="false">VLOOKUP(B82,Reimbursement_Rates!$A$2:$G$11,2,FALSE())</f>
        <v>Hemodialysis, single evaluation</v>
      </c>
      <c r="F82" s="14" t="n">
        <f aca="false">VLOOKUP(B82,Reimbursement_Rates!$A$2:$G$11,4,FALSE())</f>
        <v>145</v>
      </c>
      <c r="G82" s="14" t="n">
        <f aca="false">D82-F82</f>
        <v>-34.1</v>
      </c>
    </row>
    <row r="83" customFormat="false" ht="15" hidden="false" customHeight="false" outlineLevel="0" collapsed="false">
      <c r="A83" s="12" t="n">
        <f aca="false">Claims_Data!A83</f>
        <v>100082</v>
      </c>
      <c r="B83" s="12" t="str">
        <f aca="false">Claims_Data!E83</f>
        <v>99203</v>
      </c>
      <c r="C83" s="12" t="str">
        <f aca="false">Claims_Data!D83</f>
        <v>Commercial - Aetna</v>
      </c>
      <c r="D83" s="13" t="n">
        <f aca="false">Claims_Data!H83</f>
        <v>147.25</v>
      </c>
      <c r="E83" s="7" t="str">
        <f aca="false">VLOOKUP(B83,Reimbursement_Rates!$A$2:$G$11,2,FALSE())</f>
        <v>Office visit, new patient, low complexity</v>
      </c>
      <c r="F83" s="14" t="n">
        <f aca="false">VLOOKUP(B83,Reimbursement_Rates!$A$2:$G$11,4,FALSE())</f>
        <v>112</v>
      </c>
      <c r="G83" s="14" t="n">
        <f aca="false">D83-F83</f>
        <v>35.25</v>
      </c>
    </row>
    <row r="84" customFormat="false" ht="15" hidden="false" customHeight="false" outlineLevel="0" collapsed="false">
      <c r="A84" s="12" t="n">
        <f aca="false">Claims_Data!A84</f>
        <v>100083</v>
      </c>
      <c r="B84" s="12" t="str">
        <f aca="false">Claims_Data!E84</f>
        <v>99213</v>
      </c>
      <c r="C84" s="12" t="str">
        <f aca="false">Claims_Data!D84</f>
        <v>Commercial - Blue Shield</v>
      </c>
      <c r="D84" s="13" t="n">
        <f aca="false">Claims_Data!H84</f>
        <v>89.83</v>
      </c>
      <c r="E84" s="7" t="str">
        <f aca="false">VLOOKUP(B84,Reimbursement_Rates!$A$2:$G$11,2,FALSE())</f>
        <v>Office visit, established patient, low complexity</v>
      </c>
      <c r="F84" s="14" t="n">
        <f aca="false">VLOOKUP(B84,Reimbursement_Rates!$A$2:$G$11,4,FALSE())</f>
        <v>92</v>
      </c>
      <c r="G84" s="14" t="n">
        <f aca="false">D84-F84</f>
        <v>-2.17</v>
      </c>
    </row>
    <row r="85" customFormat="false" ht="15" hidden="false" customHeight="false" outlineLevel="0" collapsed="false">
      <c r="A85" s="12" t="n">
        <f aca="false">Claims_Data!A85</f>
        <v>100084</v>
      </c>
      <c r="B85" s="12" t="str">
        <f aca="false">Claims_Data!E85</f>
        <v>93000</v>
      </c>
      <c r="C85" s="12" t="str">
        <f aca="false">Claims_Data!D85</f>
        <v>Commercial - Aetna</v>
      </c>
      <c r="D85" s="13" t="n">
        <f aca="false">Claims_Data!H85</f>
        <v>0</v>
      </c>
      <c r="E85" s="7" t="str">
        <f aca="false">VLOOKUP(B85,Reimbursement_Rates!$A$2:$G$11,2,FALSE())</f>
        <v>Electrocardiogram, complete</v>
      </c>
      <c r="F85" s="14" t="n">
        <f aca="false">VLOOKUP(B85,Reimbursement_Rates!$A$2:$G$11,4,FALSE())</f>
        <v>34</v>
      </c>
      <c r="G85" s="14" t="n">
        <f aca="false">D85-F85</f>
        <v>-34</v>
      </c>
    </row>
    <row r="86" customFormat="false" ht="15" hidden="false" customHeight="false" outlineLevel="0" collapsed="false">
      <c r="A86" s="12" t="n">
        <f aca="false">Claims_Data!A86</f>
        <v>100085</v>
      </c>
      <c r="B86" s="12" t="str">
        <f aca="false">Claims_Data!E86</f>
        <v>99204</v>
      </c>
      <c r="C86" s="12" t="str">
        <f aca="false">Claims_Data!D86</f>
        <v>Commercial - Blue Shield</v>
      </c>
      <c r="D86" s="13" t="n">
        <f aca="false">Claims_Data!H86</f>
        <v>175.52</v>
      </c>
      <c r="E86" s="7" t="str">
        <f aca="false">VLOOKUP(B86,Reimbursement_Rates!$A$2:$G$11,2,FALSE())</f>
        <v>Office visit, new patient, moderate complexity</v>
      </c>
      <c r="F86" s="14" t="n">
        <f aca="false">VLOOKUP(B86,Reimbursement_Rates!$A$2:$G$11,4,FALSE())</f>
        <v>178</v>
      </c>
      <c r="G86" s="14" t="n">
        <f aca="false">D86-F86</f>
        <v>-2.47999999999999</v>
      </c>
    </row>
    <row r="87" customFormat="false" ht="15" hidden="false" customHeight="false" outlineLevel="0" collapsed="false">
      <c r="A87" s="12" t="n">
        <f aca="false">Claims_Data!A87</f>
        <v>100086</v>
      </c>
      <c r="B87" s="12" t="str">
        <f aca="false">Claims_Data!E87</f>
        <v>80053</v>
      </c>
      <c r="C87" s="12" t="str">
        <f aca="false">Claims_Data!D87</f>
        <v>Medicaid</v>
      </c>
      <c r="D87" s="13" t="n">
        <f aca="false">Claims_Data!H87</f>
        <v>11.47</v>
      </c>
      <c r="E87" s="7" t="str">
        <f aca="false">VLOOKUP(B87,Reimbursement_Rates!$A$2:$G$11,2,FALSE())</f>
        <v>Comprehensive metabolic panel</v>
      </c>
      <c r="F87" s="14" t="n">
        <f aca="false">VLOOKUP(B87,Reimbursement_Rates!$A$2:$G$11,4,FALSE())</f>
        <v>21</v>
      </c>
      <c r="G87" s="14" t="n">
        <f aca="false">D87-F87</f>
        <v>-9.53</v>
      </c>
    </row>
    <row r="88" customFormat="false" ht="15" hidden="false" customHeight="false" outlineLevel="0" collapsed="false">
      <c r="A88" s="12" t="n">
        <f aca="false">Claims_Data!A88</f>
        <v>100087</v>
      </c>
      <c r="B88" s="12" t="str">
        <f aca="false">Claims_Data!E88</f>
        <v>99203</v>
      </c>
      <c r="C88" s="12" t="str">
        <f aca="false">Claims_Data!D88</f>
        <v>Kaiser HMO</v>
      </c>
      <c r="D88" s="13" t="n">
        <f aca="false">Claims_Data!H88</f>
        <v>87.04</v>
      </c>
      <c r="E88" s="7" t="str">
        <f aca="false">VLOOKUP(B88,Reimbursement_Rates!$A$2:$G$11,2,FALSE())</f>
        <v>Office visit, new patient, low complexity</v>
      </c>
      <c r="F88" s="14" t="n">
        <f aca="false">VLOOKUP(B88,Reimbursement_Rates!$A$2:$G$11,4,FALSE())</f>
        <v>112</v>
      </c>
      <c r="G88" s="14" t="n">
        <f aca="false">D88-F88</f>
        <v>-24.96</v>
      </c>
    </row>
    <row r="89" customFormat="false" ht="15" hidden="false" customHeight="false" outlineLevel="0" collapsed="false">
      <c r="A89" s="12" t="n">
        <f aca="false">Claims_Data!A89</f>
        <v>100088</v>
      </c>
      <c r="B89" s="12" t="str">
        <f aca="false">Claims_Data!E89</f>
        <v>99204</v>
      </c>
      <c r="C89" s="12" t="str">
        <f aca="false">Claims_Data!D89</f>
        <v>Commercial - Aetna</v>
      </c>
      <c r="D89" s="13" t="n">
        <f aca="false">Claims_Data!H89</f>
        <v>258.44</v>
      </c>
      <c r="E89" s="7" t="str">
        <f aca="false">VLOOKUP(B89,Reimbursement_Rates!$A$2:$G$11,2,FALSE())</f>
        <v>Office visit, new patient, moderate complexity</v>
      </c>
      <c r="F89" s="14" t="n">
        <f aca="false">VLOOKUP(B89,Reimbursement_Rates!$A$2:$G$11,4,FALSE())</f>
        <v>178</v>
      </c>
      <c r="G89" s="14" t="n">
        <f aca="false">D89-F89</f>
        <v>80.44</v>
      </c>
    </row>
    <row r="90" customFormat="false" ht="15" hidden="false" customHeight="false" outlineLevel="0" collapsed="false">
      <c r="A90" s="12" t="n">
        <f aca="false">Claims_Data!A90</f>
        <v>100089</v>
      </c>
      <c r="B90" s="12" t="str">
        <f aca="false">Claims_Data!E90</f>
        <v>80053</v>
      </c>
      <c r="C90" s="12" t="str">
        <f aca="false">Claims_Data!D90</f>
        <v>Commercial - Blue Shield</v>
      </c>
      <c r="D90" s="13" t="n">
        <f aca="false">Claims_Data!H90</f>
        <v>27.71</v>
      </c>
      <c r="E90" s="7" t="str">
        <f aca="false">VLOOKUP(B90,Reimbursement_Rates!$A$2:$G$11,2,FALSE())</f>
        <v>Comprehensive metabolic panel</v>
      </c>
      <c r="F90" s="14" t="n">
        <f aca="false">VLOOKUP(B90,Reimbursement_Rates!$A$2:$G$11,4,FALSE())</f>
        <v>21</v>
      </c>
      <c r="G90" s="14" t="n">
        <f aca="false">D90-F90</f>
        <v>6.71</v>
      </c>
    </row>
    <row r="91" customFormat="false" ht="15" hidden="false" customHeight="false" outlineLevel="0" collapsed="false">
      <c r="A91" s="12" t="n">
        <f aca="false">Claims_Data!A91</f>
        <v>100090</v>
      </c>
      <c r="B91" s="12" t="str">
        <f aca="false">Claims_Data!E91</f>
        <v>36415</v>
      </c>
      <c r="C91" s="12" t="str">
        <f aca="false">Claims_Data!D91</f>
        <v>Medicare</v>
      </c>
      <c r="D91" s="13" t="n">
        <f aca="false">Claims_Data!H91</f>
        <v>8.76</v>
      </c>
      <c r="E91" s="7" t="str">
        <f aca="false">VLOOKUP(B91,Reimbursement_Rates!$A$2:$G$11,2,FALSE())</f>
        <v>Routine venipuncture</v>
      </c>
      <c r="F91" s="14" t="n">
        <f aca="false">VLOOKUP(B91,Reimbursement_Rates!$A$2:$G$11,4,FALSE())</f>
        <v>12</v>
      </c>
      <c r="G91" s="14" t="n">
        <f aca="false">D91-F91</f>
        <v>-3.24</v>
      </c>
    </row>
    <row r="92" customFormat="false" ht="15" hidden="false" customHeight="false" outlineLevel="0" collapsed="false">
      <c r="A92" s="12" t="n">
        <f aca="false">Claims_Data!A92</f>
        <v>100091</v>
      </c>
      <c r="B92" s="12" t="str">
        <f aca="false">Claims_Data!E92</f>
        <v>99214</v>
      </c>
      <c r="C92" s="12" t="str">
        <f aca="false">Claims_Data!D92</f>
        <v>Medicaid</v>
      </c>
      <c r="D92" s="13" t="n">
        <f aca="false">Claims_Data!H92</f>
        <v>84.6</v>
      </c>
      <c r="E92" s="7" t="str">
        <f aca="false">VLOOKUP(B92,Reimbursement_Rates!$A$2:$G$11,2,FALSE())</f>
        <v>Office visit, established patient, moderate complexity</v>
      </c>
      <c r="F92" s="14" t="n">
        <f aca="false">VLOOKUP(B92,Reimbursement_Rates!$A$2:$G$11,4,FALSE())</f>
        <v>128</v>
      </c>
      <c r="G92" s="14" t="n">
        <f aca="false">D92-F92</f>
        <v>-43.4</v>
      </c>
    </row>
    <row r="93" customFormat="false" ht="15" hidden="false" customHeight="false" outlineLevel="0" collapsed="false">
      <c r="A93" s="12" t="n">
        <f aca="false">Claims_Data!A93</f>
        <v>100092</v>
      </c>
      <c r="B93" s="12" t="str">
        <f aca="false">Claims_Data!E93</f>
        <v>80053</v>
      </c>
      <c r="C93" s="12" t="str">
        <f aca="false">Claims_Data!D93</f>
        <v>Commercial - Blue Shield</v>
      </c>
      <c r="D93" s="13" t="n">
        <f aca="false">Claims_Data!H93</f>
        <v>27.11</v>
      </c>
      <c r="E93" s="7" t="str">
        <f aca="false">VLOOKUP(B93,Reimbursement_Rates!$A$2:$G$11,2,FALSE())</f>
        <v>Comprehensive metabolic panel</v>
      </c>
      <c r="F93" s="14" t="n">
        <f aca="false">VLOOKUP(B93,Reimbursement_Rates!$A$2:$G$11,4,FALSE())</f>
        <v>21</v>
      </c>
      <c r="G93" s="14" t="n">
        <f aca="false">D93-F93</f>
        <v>6.11</v>
      </c>
    </row>
    <row r="94" customFormat="false" ht="15" hidden="false" customHeight="false" outlineLevel="0" collapsed="false">
      <c r="A94" s="12" t="n">
        <f aca="false">Claims_Data!A94</f>
        <v>100093</v>
      </c>
      <c r="B94" s="12" t="str">
        <f aca="false">Claims_Data!E94</f>
        <v>99203</v>
      </c>
      <c r="C94" s="12" t="str">
        <f aca="false">Claims_Data!D94</f>
        <v>Medicaid</v>
      </c>
      <c r="D94" s="13" t="n">
        <f aca="false">Claims_Data!H94</f>
        <v>74.23</v>
      </c>
      <c r="E94" s="7" t="str">
        <f aca="false">VLOOKUP(B94,Reimbursement_Rates!$A$2:$G$11,2,FALSE())</f>
        <v>Office visit, new patient, low complexity</v>
      </c>
      <c r="F94" s="14" t="n">
        <f aca="false">VLOOKUP(B94,Reimbursement_Rates!$A$2:$G$11,4,FALSE())</f>
        <v>112</v>
      </c>
      <c r="G94" s="14" t="n">
        <f aca="false">D94-F94</f>
        <v>-37.77</v>
      </c>
    </row>
    <row r="95" customFormat="false" ht="15" hidden="false" customHeight="false" outlineLevel="0" collapsed="false">
      <c r="A95" s="12" t="n">
        <f aca="false">Claims_Data!A95</f>
        <v>100094</v>
      </c>
      <c r="B95" s="12" t="str">
        <f aca="false">Claims_Data!E95</f>
        <v>80053</v>
      </c>
      <c r="C95" s="12" t="str">
        <f aca="false">Claims_Data!D95</f>
        <v>Commercial - Blue Shield</v>
      </c>
      <c r="D95" s="13" t="n">
        <f aca="false">Claims_Data!H95</f>
        <v>26.66</v>
      </c>
      <c r="E95" s="7" t="str">
        <f aca="false">VLOOKUP(B95,Reimbursement_Rates!$A$2:$G$11,2,FALSE())</f>
        <v>Comprehensive metabolic panel</v>
      </c>
      <c r="F95" s="14" t="n">
        <f aca="false">VLOOKUP(B95,Reimbursement_Rates!$A$2:$G$11,4,FALSE())</f>
        <v>21</v>
      </c>
      <c r="G95" s="14" t="n">
        <f aca="false">D95-F95</f>
        <v>5.66</v>
      </c>
    </row>
    <row r="96" customFormat="false" ht="15" hidden="false" customHeight="false" outlineLevel="0" collapsed="false">
      <c r="A96" s="12" t="n">
        <f aca="false">Claims_Data!A96</f>
        <v>100095</v>
      </c>
      <c r="B96" s="12" t="str">
        <f aca="false">Claims_Data!E96</f>
        <v>99203</v>
      </c>
      <c r="C96" s="12" t="str">
        <f aca="false">Claims_Data!D96</f>
        <v>Medicare</v>
      </c>
      <c r="D96" s="13" t="n">
        <f aca="false">Claims_Data!H96</f>
        <v>113.08</v>
      </c>
      <c r="E96" s="7" t="str">
        <f aca="false">VLOOKUP(B96,Reimbursement_Rates!$A$2:$G$11,2,FALSE())</f>
        <v>Office visit, new patient, low complexity</v>
      </c>
      <c r="F96" s="14" t="n">
        <f aca="false">VLOOKUP(B96,Reimbursement_Rates!$A$2:$G$11,4,FALSE())</f>
        <v>112</v>
      </c>
      <c r="G96" s="14" t="n">
        <f aca="false">D96-F96</f>
        <v>1.08</v>
      </c>
    </row>
    <row r="97" customFormat="false" ht="15" hidden="false" customHeight="false" outlineLevel="0" collapsed="false">
      <c r="A97" s="12" t="n">
        <f aca="false">Claims_Data!A97</f>
        <v>100096</v>
      </c>
      <c r="B97" s="12" t="str">
        <f aca="false">Claims_Data!E97</f>
        <v>93000</v>
      </c>
      <c r="C97" s="12" t="str">
        <f aca="false">Claims_Data!D97</f>
        <v>Medicare</v>
      </c>
      <c r="D97" s="13" t="n">
        <f aca="false">Claims_Data!H97</f>
        <v>33.27</v>
      </c>
      <c r="E97" s="7" t="str">
        <f aca="false">VLOOKUP(B97,Reimbursement_Rates!$A$2:$G$11,2,FALSE())</f>
        <v>Electrocardiogram, complete</v>
      </c>
      <c r="F97" s="14" t="n">
        <f aca="false">VLOOKUP(B97,Reimbursement_Rates!$A$2:$G$11,4,FALSE())</f>
        <v>34</v>
      </c>
      <c r="G97" s="14" t="n">
        <f aca="false">D97-F97</f>
        <v>-0.729999999999997</v>
      </c>
    </row>
    <row r="98" customFormat="false" ht="15" hidden="false" customHeight="false" outlineLevel="0" collapsed="false">
      <c r="A98" s="12" t="n">
        <f aca="false">Claims_Data!A98</f>
        <v>100097</v>
      </c>
      <c r="B98" s="12" t="str">
        <f aca="false">Claims_Data!E98</f>
        <v>71046</v>
      </c>
      <c r="C98" s="12" t="str">
        <f aca="false">Claims_Data!D98</f>
        <v>Kaiser HMO</v>
      </c>
      <c r="D98" s="13" t="n">
        <f aca="false">Claims_Data!H98</f>
        <v>49.85</v>
      </c>
      <c r="E98" s="7" t="str">
        <f aca="false">VLOOKUP(B98,Reimbursement_Rates!$A$2:$G$11,2,FALSE())</f>
        <v>Chest X-ray, 2 views</v>
      </c>
      <c r="F98" s="14" t="n">
        <f aca="false">VLOOKUP(B98,Reimbursement_Rates!$A$2:$G$11,4,FALSE())</f>
        <v>48</v>
      </c>
      <c r="G98" s="14" t="n">
        <f aca="false">D98-F98</f>
        <v>1.85</v>
      </c>
    </row>
    <row r="99" customFormat="false" ht="15" hidden="false" customHeight="false" outlineLevel="0" collapsed="false">
      <c r="A99" s="12" t="n">
        <f aca="false">Claims_Data!A99</f>
        <v>100098</v>
      </c>
      <c r="B99" s="12" t="str">
        <f aca="false">Claims_Data!E99</f>
        <v>93000</v>
      </c>
      <c r="C99" s="12" t="str">
        <f aca="false">Claims_Data!D99</f>
        <v>Kaiser HMO</v>
      </c>
      <c r="D99" s="13" t="n">
        <f aca="false">Claims_Data!H99</f>
        <v>36.84</v>
      </c>
      <c r="E99" s="7" t="str">
        <f aca="false">VLOOKUP(B99,Reimbursement_Rates!$A$2:$G$11,2,FALSE())</f>
        <v>Electrocardiogram, complete</v>
      </c>
      <c r="F99" s="14" t="n">
        <f aca="false">VLOOKUP(B99,Reimbursement_Rates!$A$2:$G$11,4,FALSE())</f>
        <v>34</v>
      </c>
      <c r="G99" s="14" t="n">
        <f aca="false">D99-F99</f>
        <v>2.84</v>
      </c>
    </row>
    <row r="100" customFormat="false" ht="15" hidden="false" customHeight="false" outlineLevel="0" collapsed="false">
      <c r="A100" s="12" t="n">
        <f aca="false">Claims_Data!A100</f>
        <v>100099</v>
      </c>
      <c r="B100" s="12" t="str">
        <f aca="false">Claims_Data!E100</f>
        <v>99214</v>
      </c>
      <c r="C100" s="12" t="str">
        <f aca="false">Claims_Data!D100</f>
        <v>Medicare</v>
      </c>
      <c r="D100" s="13" t="n">
        <f aca="false">Claims_Data!H100</f>
        <v>145.67</v>
      </c>
      <c r="E100" s="7" t="str">
        <f aca="false">VLOOKUP(B100,Reimbursement_Rates!$A$2:$G$11,2,FALSE())</f>
        <v>Office visit, established patient, moderate complexity</v>
      </c>
      <c r="F100" s="14" t="n">
        <f aca="false">VLOOKUP(B100,Reimbursement_Rates!$A$2:$G$11,4,FALSE())</f>
        <v>128</v>
      </c>
      <c r="G100" s="14" t="n">
        <f aca="false">D100-F100</f>
        <v>17.67</v>
      </c>
    </row>
    <row r="101" customFormat="false" ht="15" hidden="false" customHeight="false" outlineLevel="0" collapsed="false">
      <c r="A101" s="12" t="n">
        <f aca="false">Claims_Data!A101</f>
        <v>100100</v>
      </c>
      <c r="B101" s="12" t="str">
        <f aca="false">Claims_Data!E101</f>
        <v>99213</v>
      </c>
      <c r="C101" s="12" t="str">
        <f aca="false">Claims_Data!D101</f>
        <v>Commercial - Aetna</v>
      </c>
      <c r="D101" s="13" t="n">
        <f aca="false">Claims_Data!H101</f>
        <v>117.59</v>
      </c>
      <c r="E101" s="7" t="str">
        <f aca="false">VLOOKUP(B101,Reimbursement_Rates!$A$2:$G$11,2,FALSE())</f>
        <v>Office visit, established patient, low complexity</v>
      </c>
      <c r="F101" s="14" t="n">
        <f aca="false">VLOOKUP(B101,Reimbursement_Rates!$A$2:$G$11,4,FALSE())</f>
        <v>92</v>
      </c>
      <c r="G101" s="14" t="n">
        <f aca="false">D101-F101</f>
        <v>25.59</v>
      </c>
    </row>
    <row r="102" customFormat="false" ht="15" hidden="false" customHeight="false" outlineLevel="0" collapsed="false">
      <c r="A102" s="12" t="n">
        <f aca="false">Claims_Data!A102</f>
        <v>100101</v>
      </c>
      <c r="B102" s="12" t="str">
        <f aca="false">Claims_Data!E102</f>
        <v>36415</v>
      </c>
      <c r="C102" s="12" t="str">
        <f aca="false">Claims_Data!D102</f>
        <v>Commercial - Aetna</v>
      </c>
      <c r="D102" s="13" t="n">
        <f aca="false">Claims_Data!H102</f>
        <v>15.85</v>
      </c>
      <c r="E102" s="7" t="str">
        <f aca="false">VLOOKUP(B102,Reimbursement_Rates!$A$2:$G$11,2,FALSE())</f>
        <v>Routine venipuncture</v>
      </c>
      <c r="F102" s="14" t="n">
        <f aca="false">VLOOKUP(B102,Reimbursement_Rates!$A$2:$G$11,4,FALSE())</f>
        <v>12</v>
      </c>
      <c r="G102" s="14" t="n">
        <f aca="false">D102-F102</f>
        <v>3.85</v>
      </c>
    </row>
    <row r="103" customFormat="false" ht="15" hidden="false" customHeight="false" outlineLevel="0" collapsed="false">
      <c r="A103" s="12" t="n">
        <f aca="false">Claims_Data!A103</f>
        <v>100102</v>
      </c>
      <c r="B103" s="12" t="str">
        <f aca="false">Claims_Data!E103</f>
        <v>99215</v>
      </c>
      <c r="C103" s="12" t="str">
        <f aca="false">Claims_Data!D103</f>
        <v>Medicare</v>
      </c>
      <c r="D103" s="13" t="n">
        <f aca="false">Claims_Data!H103</f>
        <v>187.89</v>
      </c>
      <c r="E103" s="7" t="str">
        <f aca="false">VLOOKUP(B103,Reimbursement_Rates!$A$2:$G$11,2,FALSE())</f>
        <v>Office visit, established patient, high complexity</v>
      </c>
      <c r="F103" s="14" t="n">
        <f aca="false">VLOOKUP(B103,Reimbursement_Rates!$A$2:$G$11,4,FALSE())</f>
        <v>183</v>
      </c>
      <c r="G103" s="14" t="n">
        <f aca="false">D103-F103</f>
        <v>4.88999999999999</v>
      </c>
    </row>
    <row r="104" customFormat="false" ht="15" hidden="false" customHeight="false" outlineLevel="0" collapsed="false">
      <c r="A104" s="12" t="n">
        <f aca="false">Claims_Data!A104</f>
        <v>100103</v>
      </c>
      <c r="B104" s="12" t="str">
        <f aca="false">Claims_Data!E104</f>
        <v>90935</v>
      </c>
      <c r="C104" s="12" t="str">
        <f aca="false">Claims_Data!D104</f>
        <v>Medicare</v>
      </c>
      <c r="D104" s="13" t="n">
        <f aca="false">Claims_Data!H104</f>
        <v>126.58</v>
      </c>
      <c r="E104" s="7" t="str">
        <f aca="false">VLOOKUP(B104,Reimbursement_Rates!$A$2:$G$11,2,FALSE())</f>
        <v>Hemodialysis, single evaluation</v>
      </c>
      <c r="F104" s="14" t="n">
        <f aca="false">VLOOKUP(B104,Reimbursement_Rates!$A$2:$G$11,4,FALSE())</f>
        <v>145</v>
      </c>
      <c r="G104" s="14" t="n">
        <f aca="false">D104-F104</f>
        <v>-18.42</v>
      </c>
    </row>
    <row r="105" customFormat="false" ht="15" hidden="false" customHeight="false" outlineLevel="0" collapsed="false">
      <c r="A105" s="12" t="n">
        <f aca="false">Claims_Data!A105</f>
        <v>100104</v>
      </c>
      <c r="B105" s="12" t="str">
        <f aca="false">Claims_Data!E105</f>
        <v>99213</v>
      </c>
      <c r="C105" s="12" t="str">
        <f aca="false">Claims_Data!D105</f>
        <v>Commercial - Blue Shield</v>
      </c>
      <c r="D105" s="13" t="n">
        <f aca="false">Claims_Data!H105</f>
        <v>97.36</v>
      </c>
      <c r="E105" s="7" t="str">
        <f aca="false">VLOOKUP(B105,Reimbursement_Rates!$A$2:$G$11,2,FALSE())</f>
        <v>Office visit, established patient, low complexity</v>
      </c>
      <c r="F105" s="14" t="n">
        <f aca="false">VLOOKUP(B105,Reimbursement_Rates!$A$2:$G$11,4,FALSE())</f>
        <v>92</v>
      </c>
      <c r="G105" s="14" t="n">
        <f aca="false">D105-F105</f>
        <v>5.36</v>
      </c>
    </row>
    <row r="106" customFormat="false" ht="15" hidden="false" customHeight="false" outlineLevel="0" collapsed="false">
      <c r="A106" s="12" t="n">
        <f aca="false">Claims_Data!A106</f>
        <v>100105</v>
      </c>
      <c r="B106" s="12" t="str">
        <f aca="false">Claims_Data!E106</f>
        <v>93000</v>
      </c>
      <c r="C106" s="12" t="str">
        <f aca="false">Claims_Data!D106</f>
        <v>Kaiser HMO</v>
      </c>
      <c r="D106" s="13" t="n">
        <f aca="false">Claims_Data!H106</f>
        <v>40.42</v>
      </c>
      <c r="E106" s="7" t="str">
        <f aca="false">VLOOKUP(B106,Reimbursement_Rates!$A$2:$G$11,2,FALSE())</f>
        <v>Electrocardiogram, complete</v>
      </c>
      <c r="F106" s="14" t="n">
        <f aca="false">VLOOKUP(B106,Reimbursement_Rates!$A$2:$G$11,4,FALSE())</f>
        <v>34</v>
      </c>
      <c r="G106" s="14" t="n">
        <f aca="false">D106-F106</f>
        <v>6.42</v>
      </c>
    </row>
    <row r="107" customFormat="false" ht="15" hidden="false" customHeight="false" outlineLevel="0" collapsed="false">
      <c r="A107" s="12" t="n">
        <f aca="false">Claims_Data!A107</f>
        <v>100106</v>
      </c>
      <c r="B107" s="12" t="str">
        <f aca="false">Claims_Data!E107</f>
        <v>99204</v>
      </c>
      <c r="C107" s="12" t="str">
        <f aca="false">Claims_Data!D107</f>
        <v>Medicaid</v>
      </c>
      <c r="D107" s="13" t="n">
        <f aca="false">Claims_Data!H107</f>
        <v>121.49</v>
      </c>
      <c r="E107" s="7" t="str">
        <f aca="false">VLOOKUP(B107,Reimbursement_Rates!$A$2:$G$11,2,FALSE())</f>
        <v>Office visit, new patient, moderate complexity</v>
      </c>
      <c r="F107" s="14" t="n">
        <f aca="false">VLOOKUP(B107,Reimbursement_Rates!$A$2:$G$11,4,FALSE())</f>
        <v>178</v>
      </c>
      <c r="G107" s="14" t="n">
        <f aca="false">D107-F107</f>
        <v>-56.51</v>
      </c>
    </row>
    <row r="108" customFormat="false" ht="15" hidden="false" customHeight="false" outlineLevel="0" collapsed="false">
      <c r="A108" s="12" t="n">
        <f aca="false">Claims_Data!A108</f>
        <v>100107</v>
      </c>
      <c r="B108" s="12" t="str">
        <f aca="false">Claims_Data!E108</f>
        <v>99215</v>
      </c>
      <c r="C108" s="12" t="str">
        <f aca="false">Claims_Data!D108</f>
        <v>Medicare</v>
      </c>
      <c r="D108" s="13" t="n">
        <f aca="false">Claims_Data!H108</f>
        <v>180.51</v>
      </c>
      <c r="E108" s="7" t="str">
        <f aca="false">VLOOKUP(B108,Reimbursement_Rates!$A$2:$G$11,2,FALSE())</f>
        <v>Office visit, established patient, high complexity</v>
      </c>
      <c r="F108" s="14" t="n">
        <f aca="false">VLOOKUP(B108,Reimbursement_Rates!$A$2:$G$11,4,FALSE())</f>
        <v>183</v>
      </c>
      <c r="G108" s="14" t="n">
        <f aca="false">D108-F108</f>
        <v>-2.49000000000001</v>
      </c>
    </row>
    <row r="109" customFormat="false" ht="15" hidden="false" customHeight="false" outlineLevel="0" collapsed="false">
      <c r="A109" s="12" t="n">
        <f aca="false">Claims_Data!A109</f>
        <v>100108</v>
      </c>
      <c r="B109" s="12" t="str">
        <f aca="false">Claims_Data!E109</f>
        <v>80053</v>
      </c>
      <c r="C109" s="12" t="str">
        <f aca="false">Claims_Data!D109</f>
        <v>Medicaid</v>
      </c>
      <c r="D109" s="13" t="n">
        <f aca="false">Claims_Data!H109</f>
        <v>15.77</v>
      </c>
      <c r="E109" s="7" t="str">
        <f aca="false">VLOOKUP(B109,Reimbursement_Rates!$A$2:$G$11,2,FALSE())</f>
        <v>Comprehensive metabolic panel</v>
      </c>
      <c r="F109" s="14" t="n">
        <f aca="false">VLOOKUP(B109,Reimbursement_Rates!$A$2:$G$11,4,FALSE())</f>
        <v>21</v>
      </c>
      <c r="G109" s="14" t="n">
        <f aca="false">D109-F109</f>
        <v>-5.23</v>
      </c>
    </row>
    <row r="110" customFormat="false" ht="15" hidden="false" customHeight="false" outlineLevel="0" collapsed="false">
      <c r="A110" s="12" t="n">
        <f aca="false">Claims_Data!A110</f>
        <v>100109</v>
      </c>
      <c r="B110" s="12" t="str">
        <f aca="false">Claims_Data!E110</f>
        <v>36415</v>
      </c>
      <c r="C110" s="12" t="str">
        <f aca="false">Claims_Data!D110</f>
        <v>Kaiser HMO</v>
      </c>
      <c r="D110" s="13" t="n">
        <f aca="false">Claims_Data!H110</f>
        <v>12.61</v>
      </c>
      <c r="E110" s="7" t="str">
        <f aca="false">VLOOKUP(B110,Reimbursement_Rates!$A$2:$G$11,2,FALSE())</f>
        <v>Routine venipuncture</v>
      </c>
      <c r="F110" s="14" t="n">
        <f aca="false">VLOOKUP(B110,Reimbursement_Rates!$A$2:$G$11,4,FALSE())</f>
        <v>12</v>
      </c>
      <c r="G110" s="14" t="n">
        <f aca="false">D110-F110</f>
        <v>0.609999999999999</v>
      </c>
    </row>
    <row r="111" customFormat="false" ht="15" hidden="false" customHeight="false" outlineLevel="0" collapsed="false">
      <c r="A111" s="12" t="n">
        <f aca="false">Claims_Data!A111</f>
        <v>100110</v>
      </c>
      <c r="B111" s="12" t="str">
        <f aca="false">Claims_Data!E111</f>
        <v>80053</v>
      </c>
      <c r="C111" s="12" t="str">
        <f aca="false">Claims_Data!D111</f>
        <v>Medicaid</v>
      </c>
      <c r="D111" s="13" t="n">
        <f aca="false">Claims_Data!H111</f>
        <v>14.04</v>
      </c>
      <c r="E111" s="7" t="str">
        <f aca="false">VLOOKUP(B111,Reimbursement_Rates!$A$2:$G$11,2,FALSE())</f>
        <v>Comprehensive metabolic panel</v>
      </c>
      <c r="F111" s="14" t="n">
        <f aca="false">VLOOKUP(B111,Reimbursement_Rates!$A$2:$G$11,4,FALSE())</f>
        <v>21</v>
      </c>
      <c r="G111" s="14" t="n">
        <f aca="false">D111-F111</f>
        <v>-6.96</v>
      </c>
    </row>
    <row r="112" customFormat="false" ht="15" hidden="false" customHeight="false" outlineLevel="0" collapsed="false">
      <c r="A112" s="12" t="n">
        <f aca="false">Claims_Data!A112</f>
        <v>100111</v>
      </c>
      <c r="B112" s="12" t="str">
        <f aca="false">Claims_Data!E112</f>
        <v>99203</v>
      </c>
      <c r="C112" s="12" t="str">
        <f aca="false">Claims_Data!D112</f>
        <v>Medicaid</v>
      </c>
      <c r="D112" s="13" t="n">
        <f aca="false">Claims_Data!H112</f>
        <v>52.45</v>
      </c>
      <c r="E112" s="7" t="str">
        <f aca="false">VLOOKUP(B112,Reimbursement_Rates!$A$2:$G$11,2,FALSE())</f>
        <v>Office visit, new patient, low complexity</v>
      </c>
      <c r="F112" s="14" t="n">
        <f aca="false">VLOOKUP(B112,Reimbursement_Rates!$A$2:$G$11,4,FALSE())</f>
        <v>112</v>
      </c>
      <c r="G112" s="14" t="n">
        <f aca="false">D112-F112</f>
        <v>-59.55</v>
      </c>
    </row>
    <row r="113" customFormat="false" ht="15" hidden="false" customHeight="false" outlineLevel="0" collapsed="false">
      <c r="A113" s="12" t="n">
        <f aca="false">Claims_Data!A113</f>
        <v>100112</v>
      </c>
      <c r="B113" s="12" t="str">
        <f aca="false">Claims_Data!E113</f>
        <v>99215</v>
      </c>
      <c r="C113" s="12" t="str">
        <f aca="false">Claims_Data!D113</f>
        <v>Commercial - Blue Shield</v>
      </c>
      <c r="D113" s="13" t="n">
        <f aca="false">Claims_Data!H113</f>
        <v>237.28</v>
      </c>
      <c r="E113" s="7" t="str">
        <f aca="false">VLOOKUP(B113,Reimbursement_Rates!$A$2:$G$11,2,FALSE())</f>
        <v>Office visit, established patient, high complexity</v>
      </c>
      <c r="F113" s="14" t="n">
        <f aca="false">VLOOKUP(B113,Reimbursement_Rates!$A$2:$G$11,4,FALSE())</f>
        <v>183</v>
      </c>
      <c r="G113" s="14" t="n">
        <f aca="false">D113-F113</f>
        <v>54.28</v>
      </c>
    </row>
    <row r="114" customFormat="false" ht="15" hidden="false" customHeight="false" outlineLevel="0" collapsed="false">
      <c r="A114" s="12" t="n">
        <f aca="false">Claims_Data!A114</f>
        <v>100113</v>
      </c>
      <c r="B114" s="12" t="str">
        <f aca="false">Claims_Data!E114</f>
        <v>93000</v>
      </c>
      <c r="C114" s="12" t="str">
        <f aca="false">Claims_Data!D114</f>
        <v>Medicare</v>
      </c>
      <c r="D114" s="13" t="n">
        <f aca="false">Claims_Data!H114</f>
        <v>34.76</v>
      </c>
      <c r="E114" s="7" t="str">
        <f aca="false">VLOOKUP(B114,Reimbursement_Rates!$A$2:$G$11,2,FALSE())</f>
        <v>Electrocardiogram, complete</v>
      </c>
      <c r="F114" s="14" t="n">
        <f aca="false">VLOOKUP(B114,Reimbursement_Rates!$A$2:$G$11,4,FALSE())</f>
        <v>34</v>
      </c>
      <c r="G114" s="14" t="n">
        <f aca="false">D114-F114</f>
        <v>0.759999999999998</v>
      </c>
    </row>
    <row r="115" customFormat="false" ht="15" hidden="false" customHeight="false" outlineLevel="0" collapsed="false">
      <c r="A115" s="12" t="n">
        <f aca="false">Claims_Data!A115</f>
        <v>100114</v>
      </c>
      <c r="B115" s="12" t="str">
        <f aca="false">Claims_Data!E115</f>
        <v>99204</v>
      </c>
      <c r="C115" s="12" t="str">
        <f aca="false">Claims_Data!D115</f>
        <v>Commercial - Blue Shield</v>
      </c>
      <c r="D115" s="13" t="n">
        <f aca="false">Claims_Data!H115</f>
        <v>234.85</v>
      </c>
      <c r="E115" s="7" t="str">
        <f aca="false">VLOOKUP(B115,Reimbursement_Rates!$A$2:$G$11,2,FALSE())</f>
        <v>Office visit, new patient, moderate complexity</v>
      </c>
      <c r="F115" s="14" t="n">
        <f aca="false">VLOOKUP(B115,Reimbursement_Rates!$A$2:$G$11,4,FALSE())</f>
        <v>178</v>
      </c>
      <c r="G115" s="14" t="n">
        <f aca="false">D115-F115</f>
        <v>56.85</v>
      </c>
    </row>
    <row r="116" customFormat="false" ht="15" hidden="false" customHeight="false" outlineLevel="0" collapsed="false">
      <c r="A116" s="12" t="n">
        <f aca="false">Claims_Data!A116</f>
        <v>100115</v>
      </c>
      <c r="B116" s="12" t="str">
        <f aca="false">Claims_Data!E116</f>
        <v>93000</v>
      </c>
      <c r="C116" s="12" t="str">
        <f aca="false">Claims_Data!D116</f>
        <v>Commercial - Blue Shield</v>
      </c>
      <c r="D116" s="13" t="n">
        <f aca="false">Claims_Data!H116</f>
        <v>45.11</v>
      </c>
      <c r="E116" s="7" t="str">
        <f aca="false">VLOOKUP(B116,Reimbursement_Rates!$A$2:$G$11,2,FALSE())</f>
        <v>Electrocardiogram, complete</v>
      </c>
      <c r="F116" s="14" t="n">
        <f aca="false">VLOOKUP(B116,Reimbursement_Rates!$A$2:$G$11,4,FALSE())</f>
        <v>34</v>
      </c>
      <c r="G116" s="14" t="n">
        <f aca="false">D116-F116</f>
        <v>11.11</v>
      </c>
    </row>
    <row r="117" customFormat="false" ht="15" hidden="false" customHeight="false" outlineLevel="0" collapsed="false">
      <c r="A117" s="12" t="n">
        <f aca="false">Claims_Data!A117</f>
        <v>100116</v>
      </c>
      <c r="B117" s="12" t="str">
        <f aca="false">Claims_Data!E117</f>
        <v>99214</v>
      </c>
      <c r="C117" s="12" t="str">
        <f aca="false">Claims_Data!D117</f>
        <v>Commercial - Blue Shield</v>
      </c>
      <c r="D117" s="13" t="n">
        <f aca="false">Claims_Data!H117</f>
        <v>161.7</v>
      </c>
      <c r="E117" s="7" t="str">
        <f aca="false">VLOOKUP(B117,Reimbursement_Rates!$A$2:$G$11,2,FALSE())</f>
        <v>Office visit, established patient, moderate complexity</v>
      </c>
      <c r="F117" s="14" t="n">
        <f aca="false">VLOOKUP(B117,Reimbursement_Rates!$A$2:$G$11,4,FALSE())</f>
        <v>128</v>
      </c>
      <c r="G117" s="14" t="n">
        <f aca="false">D117-F117</f>
        <v>33.7</v>
      </c>
    </row>
    <row r="118" customFormat="false" ht="15" hidden="false" customHeight="false" outlineLevel="0" collapsed="false">
      <c r="A118" s="12" t="n">
        <f aca="false">Claims_Data!A118</f>
        <v>100117</v>
      </c>
      <c r="B118" s="12" t="str">
        <f aca="false">Claims_Data!E118</f>
        <v>90935</v>
      </c>
      <c r="C118" s="12" t="str">
        <f aca="false">Claims_Data!D118</f>
        <v>Medicare</v>
      </c>
      <c r="D118" s="13" t="n">
        <f aca="false">Claims_Data!H118</f>
        <v>141.92</v>
      </c>
      <c r="E118" s="7" t="str">
        <f aca="false">VLOOKUP(B118,Reimbursement_Rates!$A$2:$G$11,2,FALSE())</f>
        <v>Hemodialysis, single evaluation</v>
      </c>
      <c r="F118" s="14" t="n">
        <f aca="false">VLOOKUP(B118,Reimbursement_Rates!$A$2:$G$11,4,FALSE())</f>
        <v>145</v>
      </c>
      <c r="G118" s="14" t="n">
        <f aca="false">D118-F118</f>
        <v>-3.08000000000001</v>
      </c>
    </row>
    <row r="119" customFormat="false" ht="15" hidden="false" customHeight="false" outlineLevel="0" collapsed="false">
      <c r="A119" s="12" t="n">
        <f aca="false">Claims_Data!A119</f>
        <v>100118</v>
      </c>
      <c r="B119" s="12" t="str">
        <f aca="false">Claims_Data!E119</f>
        <v>99215</v>
      </c>
      <c r="C119" s="12" t="str">
        <f aca="false">Claims_Data!D119</f>
        <v>Medicaid</v>
      </c>
      <c r="D119" s="13" t="n">
        <f aca="false">Claims_Data!H119</f>
        <v>119.12</v>
      </c>
      <c r="E119" s="7" t="str">
        <f aca="false">VLOOKUP(B119,Reimbursement_Rates!$A$2:$G$11,2,FALSE())</f>
        <v>Office visit, established patient, high complexity</v>
      </c>
      <c r="F119" s="14" t="n">
        <f aca="false">VLOOKUP(B119,Reimbursement_Rates!$A$2:$G$11,4,FALSE())</f>
        <v>183</v>
      </c>
      <c r="G119" s="14" t="n">
        <f aca="false">D119-F119</f>
        <v>-63.88</v>
      </c>
    </row>
    <row r="120" customFormat="false" ht="15" hidden="false" customHeight="false" outlineLevel="0" collapsed="false">
      <c r="A120" s="12" t="n">
        <f aca="false">Claims_Data!A120</f>
        <v>100119</v>
      </c>
      <c r="B120" s="12" t="str">
        <f aca="false">Claims_Data!E120</f>
        <v>99204</v>
      </c>
      <c r="C120" s="12" t="str">
        <f aca="false">Claims_Data!D120</f>
        <v>Commercial - Blue Shield</v>
      </c>
      <c r="D120" s="13" t="n">
        <f aca="false">Claims_Data!H120</f>
        <v>257.55</v>
      </c>
      <c r="E120" s="7" t="str">
        <f aca="false">VLOOKUP(B120,Reimbursement_Rates!$A$2:$G$11,2,FALSE())</f>
        <v>Office visit, new patient, moderate complexity</v>
      </c>
      <c r="F120" s="14" t="n">
        <f aca="false">VLOOKUP(B120,Reimbursement_Rates!$A$2:$G$11,4,FALSE())</f>
        <v>178</v>
      </c>
      <c r="G120" s="14" t="n">
        <f aca="false">D120-F120</f>
        <v>79.55</v>
      </c>
    </row>
    <row r="121" customFormat="false" ht="15" hidden="false" customHeight="false" outlineLevel="0" collapsed="false">
      <c r="A121" s="12" t="n">
        <f aca="false">Claims_Data!A121</f>
        <v>100120</v>
      </c>
      <c r="B121" s="12" t="str">
        <f aca="false">Claims_Data!E121</f>
        <v>80053</v>
      </c>
      <c r="C121" s="12" t="str">
        <f aca="false">Claims_Data!D121</f>
        <v>Medicare</v>
      </c>
      <c r="D121" s="13" t="n">
        <f aca="false">Claims_Data!H121</f>
        <v>0</v>
      </c>
      <c r="E121" s="7" t="str">
        <f aca="false">VLOOKUP(B121,Reimbursement_Rates!$A$2:$G$11,2,FALSE())</f>
        <v>Comprehensive metabolic panel</v>
      </c>
      <c r="F121" s="14" t="n">
        <f aca="false">VLOOKUP(B121,Reimbursement_Rates!$A$2:$G$11,4,FALSE())</f>
        <v>21</v>
      </c>
      <c r="G121" s="14" t="n">
        <f aca="false">D121-F121</f>
        <v>-21</v>
      </c>
    </row>
    <row r="122" customFormat="false" ht="15" hidden="false" customHeight="false" outlineLevel="0" collapsed="false">
      <c r="A122" s="12" t="n">
        <f aca="false">Claims_Data!A122</f>
        <v>100121</v>
      </c>
      <c r="B122" s="12" t="str">
        <f aca="false">Claims_Data!E122</f>
        <v>80053</v>
      </c>
      <c r="C122" s="12" t="str">
        <f aca="false">Claims_Data!D122</f>
        <v>Kaiser HMO</v>
      </c>
      <c r="D122" s="13" t="n">
        <f aca="false">Claims_Data!H122</f>
        <v>21.98</v>
      </c>
      <c r="E122" s="7" t="str">
        <f aca="false">VLOOKUP(B122,Reimbursement_Rates!$A$2:$G$11,2,FALSE())</f>
        <v>Comprehensive metabolic panel</v>
      </c>
      <c r="F122" s="14" t="n">
        <f aca="false">VLOOKUP(B122,Reimbursement_Rates!$A$2:$G$11,4,FALSE())</f>
        <v>21</v>
      </c>
      <c r="G122" s="14" t="n">
        <f aca="false">D122-F122</f>
        <v>0.98</v>
      </c>
    </row>
    <row r="123" customFormat="false" ht="15" hidden="false" customHeight="false" outlineLevel="0" collapsed="false">
      <c r="A123" s="12" t="n">
        <f aca="false">Claims_Data!A123</f>
        <v>100122</v>
      </c>
      <c r="B123" s="12" t="str">
        <f aca="false">Claims_Data!E123</f>
        <v>90935</v>
      </c>
      <c r="C123" s="12" t="str">
        <f aca="false">Claims_Data!D123</f>
        <v>Commercial - Aetna</v>
      </c>
      <c r="D123" s="13" t="n">
        <f aca="false">Claims_Data!H123</f>
        <v>0</v>
      </c>
      <c r="E123" s="7" t="str">
        <f aca="false">VLOOKUP(B123,Reimbursement_Rates!$A$2:$G$11,2,FALSE())</f>
        <v>Hemodialysis, single evaluation</v>
      </c>
      <c r="F123" s="14" t="n">
        <f aca="false">VLOOKUP(B123,Reimbursement_Rates!$A$2:$G$11,4,FALSE())</f>
        <v>145</v>
      </c>
      <c r="G123" s="14" t="n">
        <f aca="false">D123-F123</f>
        <v>-145</v>
      </c>
    </row>
    <row r="124" customFormat="false" ht="15" hidden="false" customHeight="false" outlineLevel="0" collapsed="false">
      <c r="A124" s="12" t="n">
        <f aca="false">Claims_Data!A124</f>
        <v>100123</v>
      </c>
      <c r="B124" s="12" t="str">
        <f aca="false">Claims_Data!E124</f>
        <v>99204</v>
      </c>
      <c r="C124" s="12" t="str">
        <f aca="false">Claims_Data!D124</f>
        <v>Commercial - Blue Shield</v>
      </c>
      <c r="D124" s="13" t="n">
        <f aca="false">Claims_Data!H124</f>
        <v>205.79</v>
      </c>
      <c r="E124" s="7" t="str">
        <f aca="false">VLOOKUP(B124,Reimbursement_Rates!$A$2:$G$11,2,FALSE())</f>
        <v>Office visit, new patient, moderate complexity</v>
      </c>
      <c r="F124" s="14" t="n">
        <f aca="false">VLOOKUP(B124,Reimbursement_Rates!$A$2:$G$11,4,FALSE())</f>
        <v>178</v>
      </c>
      <c r="G124" s="14" t="n">
        <f aca="false">D124-F124</f>
        <v>27.79</v>
      </c>
    </row>
    <row r="125" customFormat="false" ht="15" hidden="false" customHeight="false" outlineLevel="0" collapsed="false">
      <c r="A125" s="12" t="n">
        <f aca="false">Claims_Data!A125</f>
        <v>100124</v>
      </c>
      <c r="B125" s="12" t="str">
        <f aca="false">Claims_Data!E125</f>
        <v>71046</v>
      </c>
      <c r="C125" s="12" t="str">
        <f aca="false">Claims_Data!D125</f>
        <v>Medicaid</v>
      </c>
      <c r="D125" s="13" t="n">
        <f aca="false">Claims_Data!H125</f>
        <v>31.52</v>
      </c>
      <c r="E125" s="7" t="str">
        <f aca="false">VLOOKUP(B125,Reimbursement_Rates!$A$2:$G$11,2,FALSE())</f>
        <v>Chest X-ray, 2 views</v>
      </c>
      <c r="F125" s="14" t="n">
        <f aca="false">VLOOKUP(B125,Reimbursement_Rates!$A$2:$G$11,4,FALSE())</f>
        <v>48</v>
      </c>
      <c r="G125" s="14" t="n">
        <f aca="false">D125-F125</f>
        <v>-16.48</v>
      </c>
    </row>
    <row r="126" customFormat="false" ht="15" hidden="false" customHeight="false" outlineLevel="0" collapsed="false">
      <c r="A126" s="12" t="n">
        <f aca="false">Claims_Data!A126</f>
        <v>100125</v>
      </c>
      <c r="B126" s="12" t="str">
        <f aca="false">Claims_Data!E126</f>
        <v>99204</v>
      </c>
      <c r="C126" s="12" t="str">
        <f aca="false">Claims_Data!D126</f>
        <v>Medicare</v>
      </c>
      <c r="D126" s="13" t="n">
        <f aca="false">Claims_Data!H126</f>
        <v>174.06</v>
      </c>
      <c r="E126" s="7" t="str">
        <f aca="false">VLOOKUP(B126,Reimbursement_Rates!$A$2:$G$11,2,FALSE())</f>
        <v>Office visit, new patient, moderate complexity</v>
      </c>
      <c r="F126" s="14" t="n">
        <f aca="false">VLOOKUP(B126,Reimbursement_Rates!$A$2:$G$11,4,FALSE())</f>
        <v>178</v>
      </c>
      <c r="G126" s="14" t="n">
        <f aca="false">D126-F126</f>
        <v>-3.94</v>
      </c>
    </row>
    <row r="127" customFormat="false" ht="15" hidden="false" customHeight="false" outlineLevel="0" collapsed="false">
      <c r="A127" s="12" t="n">
        <f aca="false">Claims_Data!A127</f>
        <v>100126</v>
      </c>
      <c r="B127" s="12" t="str">
        <f aca="false">Claims_Data!E127</f>
        <v>99215</v>
      </c>
      <c r="C127" s="12" t="str">
        <f aca="false">Claims_Data!D127</f>
        <v>Commercial - Blue Shield</v>
      </c>
      <c r="D127" s="13" t="n">
        <f aca="false">Claims_Data!H127</f>
        <v>260.75</v>
      </c>
      <c r="E127" s="7" t="str">
        <f aca="false">VLOOKUP(B127,Reimbursement_Rates!$A$2:$G$11,2,FALSE())</f>
        <v>Office visit, established patient, high complexity</v>
      </c>
      <c r="F127" s="14" t="n">
        <f aca="false">VLOOKUP(B127,Reimbursement_Rates!$A$2:$G$11,4,FALSE())</f>
        <v>183</v>
      </c>
      <c r="G127" s="14" t="n">
        <f aca="false">D127-F127</f>
        <v>77.75</v>
      </c>
    </row>
    <row r="128" customFormat="false" ht="15" hidden="false" customHeight="false" outlineLevel="0" collapsed="false">
      <c r="A128" s="12" t="n">
        <f aca="false">Claims_Data!A128</f>
        <v>100127</v>
      </c>
      <c r="B128" s="12" t="str">
        <f aca="false">Claims_Data!E128</f>
        <v>99204</v>
      </c>
      <c r="C128" s="12" t="str">
        <f aca="false">Claims_Data!D128</f>
        <v>Medicaid</v>
      </c>
      <c r="D128" s="13" t="n">
        <f aca="false">Claims_Data!H128</f>
        <v>0</v>
      </c>
      <c r="E128" s="7" t="str">
        <f aca="false">VLOOKUP(B128,Reimbursement_Rates!$A$2:$G$11,2,FALSE())</f>
        <v>Office visit, new patient, moderate complexity</v>
      </c>
      <c r="F128" s="14" t="n">
        <f aca="false">VLOOKUP(B128,Reimbursement_Rates!$A$2:$G$11,4,FALSE())</f>
        <v>178</v>
      </c>
      <c r="G128" s="14" t="n">
        <f aca="false">D128-F128</f>
        <v>-178</v>
      </c>
    </row>
    <row r="129" customFormat="false" ht="15" hidden="false" customHeight="false" outlineLevel="0" collapsed="false">
      <c r="A129" s="12" t="n">
        <f aca="false">Claims_Data!A129</f>
        <v>100128</v>
      </c>
      <c r="B129" s="12" t="str">
        <f aca="false">Claims_Data!E129</f>
        <v>99214</v>
      </c>
      <c r="C129" s="12" t="str">
        <f aca="false">Claims_Data!D129</f>
        <v>Commercial - Blue Shield</v>
      </c>
      <c r="D129" s="13" t="n">
        <f aca="false">Claims_Data!H129</f>
        <v>0</v>
      </c>
      <c r="E129" s="7" t="str">
        <f aca="false">VLOOKUP(B129,Reimbursement_Rates!$A$2:$G$11,2,FALSE())</f>
        <v>Office visit, established patient, moderate complexity</v>
      </c>
      <c r="F129" s="14" t="n">
        <f aca="false">VLOOKUP(B129,Reimbursement_Rates!$A$2:$G$11,4,FALSE())</f>
        <v>128</v>
      </c>
      <c r="G129" s="14" t="n">
        <f aca="false">D129-F129</f>
        <v>-128</v>
      </c>
    </row>
    <row r="130" customFormat="false" ht="15" hidden="false" customHeight="false" outlineLevel="0" collapsed="false">
      <c r="A130" s="12" t="n">
        <f aca="false">Claims_Data!A130</f>
        <v>100129</v>
      </c>
      <c r="B130" s="12" t="str">
        <f aca="false">Claims_Data!E130</f>
        <v>99213</v>
      </c>
      <c r="C130" s="12" t="str">
        <f aca="false">Claims_Data!D130</f>
        <v>Commercial - Blue Shield</v>
      </c>
      <c r="D130" s="13" t="n">
        <f aca="false">Claims_Data!H130</f>
        <v>119.76</v>
      </c>
      <c r="E130" s="7" t="str">
        <f aca="false">VLOOKUP(B130,Reimbursement_Rates!$A$2:$G$11,2,FALSE())</f>
        <v>Office visit, established patient, low complexity</v>
      </c>
      <c r="F130" s="14" t="n">
        <f aca="false">VLOOKUP(B130,Reimbursement_Rates!$A$2:$G$11,4,FALSE())</f>
        <v>92</v>
      </c>
      <c r="G130" s="14" t="n">
        <f aca="false">D130-F130</f>
        <v>27.76</v>
      </c>
    </row>
    <row r="131" customFormat="false" ht="15" hidden="false" customHeight="false" outlineLevel="0" collapsed="false">
      <c r="A131" s="12" t="n">
        <f aca="false">Claims_Data!A131</f>
        <v>100130</v>
      </c>
      <c r="B131" s="12" t="str">
        <f aca="false">Claims_Data!E131</f>
        <v>99214</v>
      </c>
      <c r="C131" s="12" t="str">
        <f aca="false">Claims_Data!D131</f>
        <v>Kaiser HMO</v>
      </c>
      <c r="D131" s="13" t="n">
        <f aca="false">Claims_Data!H131</f>
        <v>140.64</v>
      </c>
      <c r="E131" s="7" t="str">
        <f aca="false">VLOOKUP(B131,Reimbursement_Rates!$A$2:$G$11,2,FALSE())</f>
        <v>Office visit, established patient, moderate complexity</v>
      </c>
      <c r="F131" s="14" t="n">
        <f aca="false">VLOOKUP(B131,Reimbursement_Rates!$A$2:$G$11,4,FALSE())</f>
        <v>128</v>
      </c>
      <c r="G131" s="14" t="n">
        <f aca="false">D131-F131</f>
        <v>12.64</v>
      </c>
    </row>
    <row r="132" customFormat="false" ht="15" hidden="false" customHeight="false" outlineLevel="0" collapsed="false">
      <c r="A132" s="12" t="n">
        <f aca="false">Claims_Data!A132</f>
        <v>100131</v>
      </c>
      <c r="B132" s="12" t="str">
        <f aca="false">Claims_Data!E132</f>
        <v>80053</v>
      </c>
      <c r="C132" s="12" t="str">
        <f aca="false">Claims_Data!D132</f>
        <v>Medicare</v>
      </c>
      <c r="D132" s="13" t="n">
        <f aca="false">Claims_Data!H132</f>
        <v>20.55</v>
      </c>
      <c r="E132" s="7" t="str">
        <f aca="false">VLOOKUP(B132,Reimbursement_Rates!$A$2:$G$11,2,FALSE())</f>
        <v>Comprehensive metabolic panel</v>
      </c>
      <c r="F132" s="14" t="n">
        <f aca="false">VLOOKUP(B132,Reimbursement_Rates!$A$2:$G$11,4,FALSE())</f>
        <v>21</v>
      </c>
      <c r="G132" s="14" t="n">
        <f aca="false">D132-F132</f>
        <v>-0.449999999999999</v>
      </c>
    </row>
    <row r="133" customFormat="false" ht="15" hidden="false" customHeight="false" outlineLevel="0" collapsed="false">
      <c r="A133" s="12" t="n">
        <f aca="false">Claims_Data!A133</f>
        <v>100132</v>
      </c>
      <c r="B133" s="12" t="str">
        <f aca="false">Claims_Data!E133</f>
        <v>99214</v>
      </c>
      <c r="C133" s="12" t="str">
        <f aca="false">Claims_Data!D133</f>
        <v>Commercial - Blue Shield</v>
      </c>
      <c r="D133" s="13" t="n">
        <f aca="false">Claims_Data!H133</f>
        <v>164.54</v>
      </c>
      <c r="E133" s="7" t="str">
        <f aca="false">VLOOKUP(B133,Reimbursement_Rates!$A$2:$G$11,2,FALSE())</f>
        <v>Office visit, established patient, moderate complexity</v>
      </c>
      <c r="F133" s="14" t="n">
        <f aca="false">VLOOKUP(B133,Reimbursement_Rates!$A$2:$G$11,4,FALSE())</f>
        <v>128</v>
      </c>
      <c r="G133" s="14" t="n">
        <f aca="false">D133-F133</f>
        <v>36.54</v>
      </c>
    </row>
    <row r="134" customFormat="false" ht="15" hidden="false" customHeight="false" outlineLevel="0" collapsed="false">
      <c r="A134" s="12" t="n">
        <f aca="false">Claims_Data!A134</f>
        <v>100133</v>
      </c>
      <c r="B134" s="12" t="str">
        <f aca="false">Claims_Data!E134</f>
        <v>99214</v>
      </c>
      <c r="C134" s="12" t="str">
        <f aca="false">Claims_Data!D134</f>
        <v>Commercial - Blue Shield</v>
      </c>
      <c r="D134" s="13" t="n">
        <f aca="false">Claims_Data!H134</f>
        <v>180.17</v>
      </c>
      <c r="E134" s="7" t="str">
        <f aca="false">VLOOKUP(B134,Reimbursement_Rates!$A$2:$G$11,2,FALSE())</f>
        <v>Office visit, established patient, moderate complexity</v>
      </c>
      <c r="F134" s="14" t="n">
        <f aca="false">VLOOKUP(B134,Reimbursement_Rates!$A$2:$G$11,4,FALSE())</f>
        <v>128</v>
      </c>
      <c r="G134" s="14" t="n">
        <f aca="false">D134-F134</f>
        <v>52.17</v>
      </c>
    </row>
    <row r="135" customFormat="false" ht="15" hidden="false" customHeight="false" outlineLevel="0" collapsed="false">
      <c r="A135" s="12" t="n">
        <f aca="false">Claims_Data!A135</f>
        <v>100134</v>
      </c>
      <c r="B135" s="12" t="str">
        <f aca="false">Claims_Data!E135</f>
        <v>80053</v>
      </c>
      <c r="C135" s="12" t="str">
        <f aca="false">Claims_Data!D135</f>
        <v>Commercial - Blue Shield</v>
      </c>
      <c r="D135" s="13" t="n">
        <f aca="false">Claims_Data!H135</f>
        <v>27.3</v>
      </c>
      <c r="E135" s="7" t="str">
        <f aca="false">VLOOKUP(B135,Reimbursement_Rates!$A$2:$G$11,2,FALSE())</f>
        <v>Comprehensive metabolic panel</v>
      </c>
      <c r="F135" s="14" t="n">
        <f aca="false">VLOOKUP(B135,Reimbursement_Rates!$A$2:$G$11,4,FALSE())</f>
        <v>21</v>
      </c>
      <c r="G135" s="14" t="n">
        <f aca="false">D135-F135</f>
        <v>6.3</v>
      </c>
    </row>
    <row r="136" customFormat="false" ht="15" hidden="false" customHeight="false" outlineLevel="0" collapsed="false">
      <c r="A136" s="12" t="n">
        <f aca="false">Claims_Data!A136</f>
        <v>100135</v>
      </c>
      <c r="B136" s="12" t="str">
        <f aca="false">Claims_Data!E136</f>
        <v>99204</v>
      </c>
      <c r="C136" s="12" t="str">
        <f aca="false">Claims_Data!D136</f>
        <v>Commercial - Blue Shield</v>
      </c>
      <c r="D136" s="13" t="n">
        <f aca="false">Claims_Data!H136</f>
        <v>181.92</v>
      </c>
      <c r="E136" s="7" t="str">
        <f aca="false">VLOOKUP(B136,Reimbursement_Rates!$A$2:$G$11,2,FALSE())</f>
        <v>Office visit, new patient, moderate complexity</v>
      </c>
      <c r="F136" s="14" t="n">
        <f aca="false">VLOOKUP(B136,Reimbursement_Rates!$A$2:$G$11,4,FALSE())</f>
        <v>178</v>
      </c>
      <c r="G136" s="14" t="n">
        <f aca="false">D136-F136</f>
        <v>3.91999999999999</v>
      </c>
    </row>
    <row r="137" customFormat="false" ht="15" hidden="false" customHeight="false" outlineLevel="0" collapsed="false">
      <c r="A137" s="12" t="n">
        <f aca="false">Claims_Data!A137</f>
        <v>100136</v>
      </c>
      <c r="B137" s="12" t="str">
        <f aca="false">Claims_Data!E137</f>
        <v>90935</v>
      </c>
      <c r="C137" s="12" t="str">
        <f aca="false">Claims_Data!D137</f>
        <v>Medicare</v>
      </c>
      <c r="D137" s="13" t="n">
        <f aca="false">Claims_Data!H137</f>
        <v>141.25</v>
      </c>
      <c r="E137" s="7" t="str">
        <f aca="false">VLOOKUP(B137,Reimbursement_Rates!$A$2:$G$11,2,FALSE())</f>
        <v>Hemodialysis, single evaluation</v>
      </c>
      <c r="F137" s="14" t="n">
        <f aca="false">VLOOKUP(B137,Reimbursement_Rates!$A$2:$G$11,4,FALSE())</f>
        <v>145</v>
      </c>
      <c r="G137" s="14" t="n">
        <f aca="false">D137-F137</f>
        <v>-3.75</v>
      </c>
    </row>
    <row r="138" customFormat="false" ht="15" hidden="false" customHeight="false" outlineLevel="0" collapsed="false">
      <c r="A138" s="12" t="n">
        <f aca="false">Claims_Data!A138</f>
        <v>100137</v>
      </c>
      <c r="B138" s="12" t="str">
        <f aca="false">Claims_Data!E138</f>
        <v>90935</v>
      </c>
      <c r="C138" s="12" t="str">
        <f aca="false">Claims_Data!D138</f>
        <v>Medicaid</v>
      </c>
      <c r="D138" s="13" t="n">
        <f aca="false">Claims_Data!H138</f>
        <v>94.72</v>
      </c>
      <c r="E138" s="7" t="str">
        <f aca="false">VLOOKUP(B138,Reimbursement_Rates!$A$2:$G$11,2,FALSE())</f>
        <v>Hemodialysis, single evaluation</v>
      </c>
      <c r="F138" s="14" t="n">
        <f aca="false">VLOOKUP(B138,Reimbursement_Rates!$A$2:$G$11,4,FALSE())</f>
        <v>145</v>
      </c>
      <c r="G138" s="14" t="n">
        <f aca="false">D138-F138</f>
        <v>-50.28</v>
      </c>
    </row>
    <row r="139" customFormat="false" ht="15" hidden="false" customHeight="false" outlineLevel="0" collapsed="false">
      <c r="A139" s="12" t="n">
        <f aca="false">Claims_Data!A139</f>
        <v>100138</v>
      </c>
      <c r="B139" s="12" t="str">
        <f aca="false">Claims_Data!E139</f>
        <v>99204</v>
      </c>
      <c r="C139" s="12" t="str">
        <f aca="false">Claims_Data!D139</f>
        <v>Commercial - Aetna</v>
      </c>
      <c r="D139" s="13" t="n">
        <f aca="false">Claims_Data!H139</f>
        <v>246.05</v>
      </c>
      <c r="E139" s="7" t="str">
        <f aca="false">VLOOKUP(B139,Reimbursement_Rates!$A$2:$G$11,2,FALSE())</f>
        <v>Office visit, new patient, moderate complexity</v>
      </c>
      <c r="F139" s="14" t="n">
        <f aca="false">VLOOKUP(B139,Reimbursement_Rates!$A$2:$G$11,4,FALSE())</f>
        <v>178</v>
      </c>
      <c r="G139" s="14" t="n">
        <f aca="false">D139-F139</f>
        <v>68.05</v>
      </c>
    </row>
    <row r="140" customFormat="false" ht="15" hidden="false" customHeight="false" outlineLevel="0" collapsed="false">
      <c r="A140" s="12" t="n">
        <f aca="false">Claims_Data!A140</f>
        <v>100139</v>
      </c>
      <c r="B140" s="12" t="str">
        <f aca="false">Claims_Data!E140</f>
        <v>90935</v>
      </c>
      <c r="C140" s="12" t="str">
        <f aca="false">Claims_Data!D140</f>
        <v>Commercial - Aetna</v>
      </c>
      <c r="D140" s="13" t="n">
        <f aca="false">Claims_Data!H140</f>
        <v>186.11</v>
      </c>
      <c r="E140" s="7" t="str">
        <f aca="false">VLOOKUP(B140,Reimbursement_Rates!$A$2:$G$11,2,FALSE())</f>
        <v>Hemodialysis, single evaluation</v>
      </c>
      <c r="F140" s="14" t="n">
        <f aca="false">VLOOKUP(B140,Reimbursement_Rates!$A$2:$G$11,4,FALSE())</f>
        <v>145</v>
      </c>
      <c r="G140" s="14" t="n">
        <f aca="false">D140-F140</f>
        <v>41.11</v>
      </c>
    </row>
    <row r="141" customFormat="false" ht="15" hidden="false" customHeight="false" outlineLevel="0" collapsed="false">
      <c r="A141" s="12" t="n">
        <f aca="false">Claims_Data!A141</f>
        <v>100140</v>
      </c>
      <c r="B141" s="12" t="str">
        <f aca="false">Claims_Data!E141</f>
        <v>80053</v>
      </c>
      <c r="C141" s="12" t="str">
        <f aca="false">Claims_Data!D141</f>
        <v>Commercial - Blue Shield</v>
      </c>
      <c r="D141" s="13" t="n">
        <f aca="false">Claims_Data!H141</f>
        <v>27.01</v>
      </c>
      <c r="E141" s="7" t="str">
        <f aca="false">VLOOKUP(B141,Reimbursement_Rates!$A$2:$G$11,2,FALSE())</f>
        <v>Comprehensive metabolic panel</v>
      </c>
      <c r="F141" s="14" t="n">
        <f aca="false">VLOOKUP(B141,Reimbursement_Rates!$A$2:$G$11,4,FALSE())</f>
        <v>21</v>
      </c>
      <c r="G141" s="14" t="n">
        <f aca="false">D141-F141</f>
        <v>6.01</v>
      </c>
    </row>
    <row r="142" customFormat="false" ht="15" hidden="false" customHeight="false" outlineLevel="0" collapsed="false">
      <c r="A142" s="12" t="n">
        <f aca="false">Claims_Data!A142</f>
        <v>100141</v>
      </c>
      <c r="B142" s="12" t="str">
        <f aca="false">Claims_Data!E142</f>
        <v>99213</v>
      </c>
      <c r="C142" s="12" t="str">
        <f aca="false">Claims_Data!D142</f>
        <v>Commercial - Blue Shield</v>
      </c>
      <c r="D142" s="13" t="n">
        <f aca="false">Claims_Data!H142</f>
        <v>119.32</v>
      </c>
      <c r="E142" s="7" t="str">
        <f aca="false">VLOOKUP(B142,Reimbursement_Rates!$A$2:$G$11,2,FALSE())</f>
        <v>Office visit, established patient, low complexity</v>
      </c>
      <c r="F142" s="14" t="n">
        <f aca="false">VLOOKUP(B142,Reimbursement_Rates!$A$2:$G$11,4,FALSE())</f>
        <v>92</v>
      </c>
      <c r="G142" s="14" t="n">
        <f aca="false">D142-F142</f>
        <v>27.32</v>
      </c>
    </row>
    <row r="143" customFormat="false" ht="15" hidden="false" customHeight="false" outlineLevel="0" collapsed="false">
      <c r="A143" s="12" t="n">
        <f aca="false">Claims_Data!A143</f>
        <v>100142</v>
      </c>
      <c r="B143" s="12" t="str">
        <f aca="false">Claims_Data!E143</f>
        <v>99214</v>
      </c>
      <c r="C143" s="12" t="str">
        <f aca="false">Claims_Data!D143</f>
        <v>Medicare</v>
      </c>
      <c r="D143" s="13" t="n">
        <f aca="false">Claims_Data!H143</f>
        <v>128.95</v>
      </c>
      <c r="E143" s="7" t="str">
        <f aca="false">VLOOKUP(B143,Reimbursement_Rates!$A$2:$G$11,2,FALSE())</f>
        <v>Office visit, established patient, moderate complexity</v>
      </c>
      <c r="F143" s="14" t="n">
        <f aca="false">VLOOKUP(B143,Reimbursement_Rates!$A$2:$G$11,4,FALSE())</f>
        <v>128</v>
      </c>
      <c r="G143" s="14" t="n">
        <f aca="false">D143-F143</f>
        <v>0.949999999999989</v>
      </c>
    </row>
    <row r="144" customFormat="false" ht="15" hidden="false" customHeight="false" outlineLevel="0" collapsed="false">
      <c r="A144" s="12" t="n">
        <f aca="false">Claims_Data!A144</f>
        <v>100143</v>
      </c>
      <c r="B144" s="12" t="str">
        <f aca="false">Claims_Data!E144</f>
        <v>93000</v>
      </c>
      <c r="C144" s="12" t="str">
        <f aca="false">Claims_Data!D144</f>
        <v>Commercial - Aetna</v>
      </c>
      <c r="D144" s="13" t="n">
        <f aca="false">Claims_Data!H144</f>
        <v>44.77</v>
      </c>
      <c r="E144" s="7" t="str">
        <f aca="false">VLOOKUP(B144,Reimbursement_Rates!$A$2:$G$11,2,FALSE())</f>
        <v>Electrocardiogram, complete</v>
      </c>
      <c r="F144" s="14" t="n">
        <f aca="false">VLOOKUP(B144,Reimbursement_Rates!$A$2:$G$11,4,FALSE())</f>
        <v>34</v>
      </c>
      <c r="G144" s="14" t="n">
        <f aca="false">D144-F144</f>
        <v>10.77</v>
      </c>
    </row>
    <row r="145" customFormat="false" ht="15" hidden="false" customHeight="false" outlineLevel="0" collapsed="false">
      <c r="A145" s="12" t="n">
        <f aca="false">Claims_Data!A145</f>
        <v>100144</v>
      </c>
      <c r="B145" s="12" t="str">
        <f aca="false">Claims_Data!E145</f>
        <v>80053</v>
      </c>
      <c r="C145" s="12" t="str">
        <f aca="false">Claims_Data!D145</f>
        <v>Commercial - Blue Shield</v>
      </c>
      <c r="D145" s="13" t="n">
        <f aca="false">Claims_Data!H145</f>
        <v>21.05</v>
      </c>
      <c r="E145" s="7" t="str">
        <f aca="false">VLOOKUP(B145,Reimbursement_Rates!$A$2:$G$11,2,FALSE())</f>
        <v>Comprehensive metabolic panel</v>
      </c>
      <c r="F145" s="14" t="n">
        <f aca="false">VLOOKUP(B145,Reimbursement_Rates!$A$2:$G$11,4,FALSE())</f>
        <v>21</v>
      </c>
      <c r="G145" s="14" t="n">
        <f aca="false">D145-F145</f>
        <v>0.0500000000000007</v>
      </c>
    </row>
    <row r="146" customFormat="false" ht="15" hidden="false" customHeight="false" outlineLevel="0" collapsed="false">
      <c r="A146" s="12" t="n">
        <f aca="false">Claims_Data!A146</f>
        <v>100145</v>
      </c>
      <c r="B146" s="12" t="str">
        <f aca="false">Claims_Data!E146</f>
        <v>90935</v>
      </c>
      <c r="C146" s="12" t="str">
        <f aca="false">Claims_Data!D146</f>
        <v>Commercial - Blue Shield</v>
      </c>
      <c r="D146" s="13" t="n">
        <f aca="false">Claims_Data!H146</f>
        <v>191.75</v>
      </c>
      <c r="E146" s="7" t="str">
        <f aca="false">VLOOKUP(B146,Reimbursement_Rates!$A$2:$G$11,2,FALSE())</f>
        <v>Hemodialysis, single evaluation</v>
      </c>
      <c r="F146" s="14" t="n">
        <f aca="false">VLOOKUP(B146,Reimbursement_Rates!$A$2:$G$11,4,FALSE())</f>
        <v>145</v>
      </c>
      <c r="G146" s="14" t="n">
        <f aca="false">D146-F146</f>
        <v>46.75</v>
      </c>
    </row>
    <row r="147" customFormat="false" ht="15" hidden="false" customHeight="false" outlineLevel="0" collapsed="false">
      <c r="A147" s="12" t="n">
        <f aca="false">Claims_Data!A147</f>
        <v>100146</v>
      </c>
      <c r="B147" s="12" t="str">
        <f aca="false">Claims_Data!E147</f>
        <v>99214</v>
      </c>
      <c r="C147" s="12" t="str">
        <f aca="false">Claims_Data!D147</f>
        <v>Medicare</v>
      </c>
      <c r="D147" s="13" t="n">
        <f aca="false">Claims_Data!H147</f>
        <v>125.16</v>
      </c>
      <c r="E147" s="7" t="str">
        <f aca="false">VLOOKUP(B147,Reimbursement_Rates!$A$2:$G$11,2,FALSE())</f>
        <v>Office visit, established patient, moderate complexity</v>
      </c>
      <c r="F147" s="14" t="n">
        <f aca="false">VLOOKUP(B147,Reimbursement_Rates!$A$2:$G$11,4,FALSE())</f>
        <v>128</v>
      </c>
      <c r="G147" s="14" t="n">
        <f aca="false">D147-F147</f>
        <v>-2.84</v>
      </c>
    </row>
    <row r="148" customFormat="false" ht="15" hidden="false" customHeight="false" outlineLevel="0" collapsed="false">
      <c r="A148" s="12" t="n">
        <f aca="false">Claims_Data!A148</f>
        <v>100147</v>
      </c>
      <c r="B148" s="12" t="str">
        <f aca="false">Claims_Data!E148</f>
        <v>36415</v>
      </c>
      <c r="C148" s="12" t="str">
        <f aca="false">Claims_Data!D148</f>
        <v>Medicare</v>
      </c>
      <c r="D148" s="13" t="n">
        <f aca="false">Claims_Data!H148</f>
        <v>10.48</v>
      </c>
      <c r="E148" s="7" t="str">
        <f aca="false">VLOOKUP(B148,Reimbursement_Rates!$A$2:$G$11,2,FALSE())</f>
        <v>Routine venipuncture</v>
      </c>
      <c r="F148" s="14" t="n">
        <f aca="false">VLOOKUP(B148,Reimbursement_Rates!$A$2:$G$11,4,FALSE())</f>
        <v>12</v>
      </c>
      <c r="G148" s="14" t="n">
        <f aca="false">D148-F148</f>
        <v>-1.52</v>
      </c>
    </row>
    <row r="149" customFormat="false" ht="15" hidden="false" customHeight="false" outlineLevel="0" collapsed="false">
      <c r="A149" s="12" t="n">
        <f aca="false">Claims_Data!A149</f>
        <v>100148</v>
      </c>
      <c r="B149" s="12" t="str">
        <f aca="false">Claims_Data!E149</f>
        <v>99204</v>
      </c>
      <c r="C149" s="12" t="str">
        <f aca="false">Claims_Data!D149</f>
        <v>Commercial - Aetna</v>
      </c>
      <c r="D149" s="13" t="n">
        <f aca="false">Claims_Data!H149</f>
        <v>232.16</v>
      </c>
      <c r="E149" s="7" t="str">
        <f aca="false">VLOOKUP(B149,Reimbursement_Rates!$A$2:$G$11,2,FALSE())</f>
        <v>Office visit, new patient, moderate complexity</v>
      </c>
      <c r="F149" s="14" t="n">
        <f aca="false">VLOOKUP(B149,Reimbursement_Rates!$A$2:$G$11,4,FALSE())</f>
        <v>178</v>
      </c>
      <c r="G149" s="14" t="n">
        <f aca="false">D149-F149</f>
        <v>54.16</v>
      </c>
    </row>
    <row r="150" customFormat="false" ht="15" hidden="false" customHeight="false" outlineLevel="0" collapsed="false">
      <c r="A150" s="12" t="n">
        <f aca="false">Claims_Data!A150</f>
        <v>100149</v>
      </c>
      <c r="B150" s="12" t="str">
        <f aca="false">Claims_Data!E150</f>
        <v>93000</v>
      </c>
      <c r="C150" s="12" t="str">
        <f aca="false">Claims_Data!D150</f>
        <v>Kaiser HMO</v>
      </c>
      <c r="D150" s="13" t="n">
        <f aca="false">Claims_Data!H150</f>
        <v>36.66</v>
      </c>
      <c r="E150" s="7" t="str">
        <f aca="false">VLOOKUP(B150,Reimbursement_Rates!$A$2:$G$11,2,FALSE())</f>
        <v>Electrocardiogram, complete</v>
      </c>
      <c r="F150" s="14" t="n">
        <f aca="false">VLOOKUP(B150,Reimbursement_Rates!$A$2:$G$11,4,FALSE())</f>
        <v>34</v>
      </c>
      <c r="G150" s="14" t="n">
        <f aca="false">D150-F150</f>
        <v>2.66</v>
      </c>
    </row>
    <row r="151" customFormat="false" ht="15" hidden="false" customHeight="false" outlineLevel="0" collapsed="false">
      <c r="A151" s="12" t="n">
        <f aca="false">Claims_Data!A151</f>
        <v>100150</v>
      </c>
      <c r="B151" s="12" t="str">
        <f aca="false">Claims_Data!E151</f>
        <v>99215</v>
      </c>
      <c r="C151" s="12" t="str">
        <f aca="false">Claims_Data!D151</f>
        <v>Medicare</v>
      </c>
      <c r="D151" s="13" t="n">
        <f aca="false">Claims_Data!H151</f>
        <v>201.79</v>
      </c>
      <c r="E151" s="7" t="str">
        <f aca="false">VLOOKUP(B151,Reimbursement_Rates!$A$2:$G$11,2,FALSE())</f>
        <v>Office visit, established patient, high complexity</v>
      </c>
      <c r="F151" s="14" t="n">
        <f aca="false">VLOOKUP(B151,Reimbursement_Rates!$A$2:$G$11,4,FALSE())</f>
        <v>183</v>
      </c>
      <c r="G151" s="14" t="n">
        <f aca="false">D151-F151</f>
        <v>18.79</v>
      </c>
    </row>
    <row r="152" customFormat="false" ht="15" hidden="false" customHeight="false" outlineLevel="0" collapsed="false">
      <c r="A152" s="12" t="n">
        <f aca="false">Claims_Data!A152</f>
        <v>100151</v>
      </c>
      <c r="B152" s="12" t="str">
        <f aca="false">Claims_Data!E152</f>
        <v>36415</v>
      </c>
      <c r="C152" s="12" t="str">
        <f aca="false">Claims_Data!D152</f>
        <v>Commercial - Aetna</v>
      </c>
      <c r="D152" s="13" t="n">
        <f aca="false">Claims_Data!H152</f>
        <v>17.02</v>
      </c>
      <c r="E152" s="7" t="str">
        <f aca="false">VLOOKUP(B152,Reimbursement_Rates!$A$2:$G$11,2,FALSE())</f>
        <v>Routine venipuncture</v>
      </c>
      <c r="F152" s="14" t="n">
        <f aca="false">VLOOKUP(B152,Reimbursement_Rates!$A$2:$G$11,4,FALSE())</f>
        <v>12</v>
      </c>
      <c r="G152" s="14" t="n">
        <f aca="false">D152-F152</f>
        <v>5.02</v>
      </c>
    </row>
    <row r="153" customFormat="false" ht="15" hidden="false" customHeight="false" outlineLevel="0" collapsed="false">
      <c r="A153" s="12" t="n">
        <f aca="false">Claims_Data!A153</f>
        <v>100152</v>
      </c>
      <c r="B153" s="12" t="str">
        <f aca="false">Claims_Data!E153</f>
        <v>80053</v>
      </c>
      <c r="C153" s="12" t="str">
        <f aca="false">Claims_Data!D153</f>
        <v>Commercial - Blue Shield</v>
      </c>
      <c r="D153" s="13" t="n">
        <f aca="false">Claims_Data!H153</f>
        <v>23.09</v>
      </c>
      <c r="E153" s="7" t="str">
        <f aca="false">VLOOKUP(B153,Reimbursement_Rates!$A$2:$G$11,2,FALSE())</f>
        <v>Comprehensive metabolic panel</v>
      </c>
      <c r="F153" s="14" t="n">
        <f aca="false">VLOOKUP(B153,Reimbursement_Rates!$A$2:$G$11,4,FALSE())</f>
        <v>21</v>
      </c>
      <c r="G153" s="14" t="n">
        <f aca="false">D153-F153</f>
        <v>2.09</v>
      </c>
    </row>
    <row r="154" customFormat="false" ht="15" hidden="false" customHeight="false" outlineLevel="0" collapsed="false">
      <c r="A154" s="12" t="n">
        <f aca="false">Claims_Data!A154</f>
        <v>100153</v>
      </c>
      <c r="B154" s="12" t="str">
        <f aca="false">Claims_Data!E154</f>
        <v>99215</v>
      </c>
      <c r="C154" s="12" t="str">
        <f aca="false">Claims_Data!D154</f>
        <v>Medicaid</v>
      </c>
      <c r="D154" s="13" t="n">
        <f aca="false">Claims_Data!H154</f>
        <v>120.59</v>
      </c>
      <c r="E154" s="7" t="str">
        <f aca="false">VLOOKUP(B154,Reimbursement_Rates!$A$2:$G$11,2,FALSE())</f>
        <v>Office visit, established patient, high complexity</v>
      </c>
      <c r="F154" s="14" t="n">
        <f aca="false">VLOOKUP(B154,Reimbursement_Rates!$A$2:$G$11,4,FALSE())</f>
        <v>183</v>
      </c>
      <c r="G154" s="14" t="n">
        <f aca="false">D154-F154</f>
        <v>-62.41</v>
      </c>
    </row>
    <row r="155" customFormat="false" ht="15" hidden="false" customHeight="false" outlineLevel="0" collapsed="false">
      <c r="A155" s="12" t="n">
        <f aca="false">Claims_Data!A155</f>
        <v>100154</v>
      </c>
      <c r="B155" s="12" t="str">
        <f aca="false">Claims_Data!E155</f>
        <v>80053</v>
      </c>
      <c r="C155" s="12" t="str">
        <f aca="false">Claims_Data!D155</f>
        <v>Commercial - Aetna</v>
      </c>
      <c r="D155" s="13" t="n">
        <f aca="false">Claims_Data!H155</f>
        <v>26.75</v>
      </c>
      <c r="E155" s="7" t="str">
        <f aca="false">VLOOKUP(B155,Reimbursement_Rates!$A$2:$G$11,2,FALSE())</f>
        <v>Comprehensive metabolic panel</v>
      </c>
      <c r="F155" s="14" t="n">
        <f aca="false">VLOOKUP(B155,Reimbursement_Rates!$A$2:$G$11,4,FALSE())</f>
        <v>21</v>
      </c>
      <c r="G155" s="14" t="n">
        <f aca="false">D155-F155</f>
        <v>5.75</v>
      </c>
    </row>
    <row r="156" customFormat="false" ht="15" hidden="false" customHeight="false" outlineLevel="0" collapsed="false">
      <c r="A156" s="12" t="n">
        <f aca="false">Claims_Data!A156</f>
        <v>100155</v>
      </c>
      <c r="B156" s="12" t="str">
        <f aca="false">Claims_Data!E156</f>
        <v>80053</v>
      </c>
      <c r="C156" s="12" t="str">
        <f aca="false">Claims_Data!D156</f>
        <v>Commercial - Aetna</v>
      </c>
      <c r="D156" s="13" t="n">
        <f aca="false">Claims_Data!H156</f>
        <v>27.78</v>
      </c>
      <c r="E156" s="7" t="str">
        <f aca="false">VLOOKUP(B156,Reimbursement_Rates!$A$2:$G$11,2,FALSE())</f>
        <v>Comprehensive metabolic panel</v>
      </c>
      <c r="F156" s="14" t="n">
        <f aca="false">VLOOKUP(B156,Reimbursement_Rates!$A$2:$G$11,4,FALSE())</f>
        <v>21</v>
      </c>
      <c r="G156" s="14" t="n">
        <f aca="false">D156-F156</f>
        <v>6.78</v>
      </c>
    </row>
    <row r="157" customFormat="false" ht="15" hidden="false" customHeight="false" outlineLevel="0" collapsed="false">
      <c r="A157" s="12" t="n">
        <f aca="false">Claims_Data!A157</f>
        <v>100156</v>
      </c>
      <c r="B157" s="12" t="str">
        <f aca="false">Claims_Data!E157</f>
        <v>99204</v>
      </c>
      <c r="C157" s="12" t="str">
        <f aca="false">Claims_Data!D157</f>
        <v>Medicaid</v>
      </c>
      <c r="D157" s="13" t="n">
        <f aca="false">Claims_Data!H157</f>
        <v>89.43</v>
      </c>
      <c r="E157" s="7" t="str">
        <f aca="false">VLOOKUP(B157,Reimbursement_Rates!$A$2:$G$11,2,FALSE())</f>
        <v>Office visit, new patient, moderate complexity</v>
      </c>
      <c r="F157" s="14" t="n">
        <f aca="false">VLOOKUP(B157,Reimbursement_Rates!$A$2:$G$11,4,FALSE())</f>
        <v>178</v>
      </c>
      <c r="G157" s="14" t="n">
        <f aca="false">D157-F157</f>
        <v>-88.57</v>
      </c>
    </row>
    <row r="158" customFormat="false" ht="15" hidden="false" customHeight="false" outlineLevel="0" collapsed="false">
      <c r="A158" s="12" t="n">
        <f aca="false">Claims_Data!A158</f>
        <v>100157</v>
      </c>
      <c r="B158" s="12" t="str">
        <f aca="false">Claims_Data!E158</f>
        <v>36415</v>
      </c>
      <c r="C158" s="12" t="str">
        <f aca="false">Claims_Data!D158</f>
        <v>Commercial - Blue Shield</v>
      </c>
      <c r="D158" s="13" t="n">
        <f aca="false">Claims_Data!H158</f>
        <v>12.8</v>
      </c>
      <c r="E158" s="7" t="str">
        <f aca="false">VLOOKUP(B158,Reimbursement_Rates!$A$2:$G$11,2,FALSE())</f>
        <v>Routine venipuncture</v>
      </c>
      <c r="F158" s="14" t="n">
        <f aca="false">VLOOKUP(B158,Reimbursement_Rates!$A$2:$G$11,4,FALSE())</f>
        <v>12</v>
      </c>
      <c r="G158" s="14" t="n">
        <f aca="false">D158-F158</f>
        <v>0.800000000000001</v>
      </c>
    </row>
    <row r="159" customFormat="false" ht="15" hidden="false" customHeight="false" outlineLevel="0" collapsed="false">
      <c r="A159" s="12" t="n">
        <f aca="false">Claims_Data!A159</f>
        <v>100158</v>
      </c>
      <c r="B159" s="12" t="str">
        <f aca="false">Claims_Data!E159</f>
        <v>99213</v>
      </c>
      <c r="C159" s="12" t="str">
        <f aca="false">Claims_Data!D159</f>
        <v>Commercial - Blue Shield</v>
      </c>
      <c r="D159" s="13" t="n">
        <f aca="false">Claims_Data!H159</f>
        <v>116.68</v>
      </c>
      <c r="E159" s="7" t="str">
        <f aca="false">VLOOKUP(B159,Reimbursement_Rates!$A$2:$G$11,2,FALSE())</f>
        <v>Office visit, established patient, low complexity</v>
      </c>
      <c r="F159" s="14" t="n">
        <f aca="false">VLOOKUP(B159,Reimbursement_Rates!$A$2:$G$11,4,FALSE())</f>
        <v>92</v>
      </c>
      <c r="G159" s="14" t="n">
        <f aca="false">D159-F159</f>
        <v>24.68</v>
      </c>
    </row>
    <row r="160" customFormat="false" ht="15" hidden="false" customHeight="false" outlineLevel="0" collapsed="false">
      <c r="A160" s="12" t="n">
        <f aca="false">Claims_Data!A160</f>
        <v>100159</v>
      </c>
      <c r="B160" s="12" t="str">
        <f aca="false">Claims_Data!E160</f>
        <v>99204</v>
      </c>
      <c r="C160" s="12" t="str">
        <f aca="false">Claims_Data!D160</f>
        <v>Commercial - Blue Shield</v>
      </c>
      <c r="D160" s="13" t="n">
        <f aca="false">Claims_Data!H160</f>
        <v>234.16</v>
      </c>
      <c r="E160" s="7" t="str">
        <f aca="false">VLOOKUP(B160,Reimbursement_Rates!$A$2:$G$11,2,FALSE())</f>
        <v>Office visit, new patient, moderate complexity</v>
      </c>
      <c r="F160" s="14" t="n">
        <f aca="false">VLOOKUP(B160,Reimbursement_Rates!$A$2:$G$11,4,FALSE())</f>
        <v>178</v>
      </c>
      <c r="G160" s="14" t="n">
        <f aca="false">D160-F160</f>
        <v>56.16</v>
      </c>
    </row>
    <row r="161" customFormat="false" ht="15" hidden="false" customHeight="false" outlineLevel="0" collapsed="false">
      <c r="A161" s="12" t="n">
        <f aca="false">Claims_Data!A161</f>
        <v>100160</v>
      </c>
      <c r="B161" s="12" t="str">
        <f aca="false">Claims_Data!E161</f>
        <v>36415</v>
      </c>
      <c r="C161" s="12" t="str">
        <f aca="false">Claims_Data!D161</f>
        <v>Medicare</v>
      </c>
      <c r="D161" s="13" t="n">
        <f aca="false">Claims_Data!H161</f>
        <v>12.02</v>
      </c>
      <c r="E161" s="7" t="str">
        <f aca="false">VLOOKUP(B161,Reimbursement_Rates!$A$2:$G$11,2,FALSE())</f>
        <v>Routine venipuncture</v>
      </c>
      <c r="F161" s="14" t="n">
        <f aca="false">VLOOKUP(B161,Reimbursement_Rates!$A$2:$G$11,4,FALSE())</f>
        <v>12</v>
      </c>
      <c r="G161" s="14" t="n">
        <f aca="false">D161-F161</f>
        <v>0.0199999999999996</v>
      </c>
    </row>
    <row r="162" customFormat="false" ht="15" hidden="false" customHeight="false" outlineLevel="0" collapsed="false">
      <c r="A162" s="12" t="n">
        <f aca="false">Claims_Data!A162</f>
        <v>100161</v>
      </c>
      <c r="B162" s="12" t="str">
        <f aca="false">Claims_Data!E162</f>
        <v>99203</v>
      </c>
      <c r="C162" s="12" t="str">
        <f aca="false">Claims_Data!D162</f>
        <v>Kaiser HMO</v>
      </c>
      <c r="D162" s="13" t="n">
        <f aca="false">Claims_Data!H162</f>
        <v>117.22</v>
      </c>
      <c r="E162" s="7" t="str">
        <f aca="false">VLOOKUP(B162,Reimbursement_Rates!$A$2:$G$11,2,FALSE())</f>
        <v>Office visit, new patient, low complexity</v>
      </c>
      <c r="F162" s="14" t="n">
        <f aca="false">VLOOKUP(B162,Reimbursement_Rates!$A$2:$G$11,4,FALSE())</f>
        <v>112</v>
      </c>
      <c r="G162" s="14" t="n">
        <f aca="false">D162-F162</f>
        <v>5.22</v>
      </c>
    </row>
    <row r="163" customFormat="false" ht="15" hidden="false" customHeight="false" outlineLevel="0" collapsed="false">
      <c r="A163" s="12" t="n">
        <f aca="false">Claims_Data!A163</f>
        <v>100162</v>
      </c>
      <c r="B163" s="12" t="str">
        <f aca="false">Claims_Data!E163</f>
        <v>90935</v>
      </c>
      <c r="C163" s="12" t="str">
        <f aca="false">Claims_Data!D163</f>
        <v>Kaiser HMO</v>
      </c>
      <c r="D163" s="13" t="n">
        <f aca="false">Claims_Data!H163</f>
        <v>115.82</v>
      </c>
      <c r="E163" s="7" t="str">
        <f aca="false">VLOOKUP(B163,Reimbursement_Rates!$A$2:$G$11,2,FALSE())</f>
        <v>Hemodialysis, single evaluation</v>
      </c>
      <c r="F163" s="14" t="n">
        <f aca="false">VLOOKUP(B163,Reimbursement_Rates!$A$2:$G$11,4,FALSE())</f>
        <v>145</v>
      </c>
      <c r="G163" s="14" t="n">
        <f aca="false">D163-F163</f>
        <v>-29.18</v>
      </c>
    </row>
    <row r="164" customFormat="false" ht="15" hidden="false" customHeight="false" outlineLevel="0" collapsed="false">
      <c r="A164" s="12" t="n">
        <f aca="false">Claims_Data!A164</f>
        <v>100163</v>
      </c>
      <c r="B164" s="12" t="str">
        <f aca="false">Claims_Data!E164</f>
        <v>99215</v>
      </c>
      <c r="C164" s="12" t="str">
        <f aca="false">Claims_Data!D164</f>
        <v>Medicaid</v>
      </c>
      <c r="D164" s="13" t="n">
        <f aca="false">Claims_Data!H164</f>
        <v>88.99</v>
      </c>
      <c r="E164" s="7" t="str">
        <f aca="false">VLOOKUP(B164,Reimbursement_Rates!$A$2:$G$11,2,FALSE())</f>
        <v>Office visit, established patient, high complexity</v>
      </c>
      <c r="F164" s="14" t="n">
        <f aca="false">VLOOKUP(B164,Reimbursement_Rates!$A$2:$G$11,4,FALSE())</f>
        <v>183</v>
      </c>
      <c r="G164" s="14" t="n">
        <f aca="false">D164-F164</f>
        <v>-94.01</v>
      </c>
    </row>
    <row r="165" customFormat="false" ht="15" hidden="false" customHeight="false" outlineLevel="0" collapsed="false">
      <c r="A165" s="12" t="n">
        <f aca="false">Claims_Data!A165</f>
        <v>100164</v>
      </c>
      <c r="B165" s="12" t="str">
        <f aca="false">Claims_Data!E165</f>
        <v>71046</v>
      </c>
      <c r="C165" s="12" t="str">
        <f aca="false">Claims_Data!D165</f>
        <v>Commercial - Aetna</v>
      </c>
      <c r="D165" s="13" t="n">
        <f aca="false">Claims_Data!H165</f>
        <v>0</v>
      </c>
      <c r="E165" s="7" t="str">
        <f aca="false">VLOOKUP(B165,Reimbursement_Rates!$A$2:$G$11,2,FALSE())</f>
        <v>Chest X-ray, 2 views</v>
      </c>
      <c r="F165" s="14" t="n">
        <f aca="false">VLOOKUP(B165,Reimbursement_Rates!$A$2:$G$11,4,FALSE())</f>
        <v>48</v>
      </c>
      <c r="G165" s="14" t="n">
        <f aca="false">D165-F165</f>
        <v>-48</v>
      </c>
    </row>
    <row r="166" customFormat="false" ht="15" hidden="false" customHeight="false" outlineLevel="0" collapsed="false">
      <c r="A166" s="12" t="n">
        <f aca="false">Claims_Data!A166</f>
        <v>100165</v>
      </c>
      <c r="B166" s="12" t="str">
        <f aca="false">Claims_Data!E166</f>
        <v>80053</v>
      </c>
      <c r="C166" s="12" t="str">
        <f aca="false">Claims_Data!D166</f>
        <v>Medicaid</v>
      </c>
      <c r="D166" s="13" t="n">
        <f aca="false">Claims_Data!H166</f>
        <v>13.81</v>
      </c>
      <c r="E166" s="7" t="str">
        <f aca="false">VLOOKUP(B166,Reimbursement_Rates!$A$2:$G$11,2,FALSE())</f>
        <v>Comprehensive metabolic panel</v>
      </c>
      <c r="F166" s="14" t="n">
        <f aca="false">VLOOKUP(B166,Reimbursement_Rates!$A$2:$G$11,4,FALSE())</f>
        <v>21</v>
      </c>
      <c r="G166" s="14" t="n">
        <f aca="false">D166-F166</f>
        <v>-7.19</v>
      </c>
    </row>
    <row r="167" customFormat="false" ht="15" hidden="false" customHeight="false" outlineLevel="0" collapsed="false">
      <c r="A167" s="12" t="n">
        <f aca="false">Claims_Data!A167</f>
        <v>100166</v>
      </c>
      <c r="B167" s="12" t="str">
        <f aca="false">Claims_Data!E167</f>
        <v>99214</v>
      </c>
      <c r="C167" s="12" t="str">
        <f aca="false">Claims_Data!D167</f>
        <v>Commercial - Aetna</v>
      </c>
      <c r="D167" s="13" t="n">
        <f aca="false">Claims_Data!H167</f>
        <v>168.28</v>
      </c>
      <c r="E167" s="7" t="str">
        <f aca="false">VLOOKUP(B167,Reimbursement_Rates!$A$2:$G$11,2,FALSE())</f>
        <v>Office visit, established patient, moderate complexity</v>
      </c>
      <c r="F167" s="14" t="n">
        <f aca="false">VLOOKUP(B167,Reimbursement_Rates!$A$2:$G$11,4,FALSE())</f>
        <v>128</v>
      </c>
      <c r="G167" s="14" t="n">
        <f aca="false">D167-F167</f>
        <v>40.28</v>
      </c>
    </row>
    <row r="168" customFormat="false" ht="15" hidden="false" customHeight="false" outlineLevel="0" collapsed="false">
      <c r="A168" s="12" t="n">
        <f aca="false">Claims_Data!A168</f>
        <v>100167</v>
      </c>
      <c r="B168" s="12" t="str">
        <f aca="false">Claims_Data!E168</f>
        <v>71046</v>
      </c>
      <c r="C168" s="12" t="str">
        <f aca="false">Claims_Data!D168</f>
        <v>Commercial - Aetna</v>
      </c>
      <c r="D168" s="13" t="n">
        <f aca="false">Claims_Data!H168</f>
        <v>63.09</v>
      </c>
      <c r="E168" s="7" t="str">
        <f aca="false">VLOOKUP(B168,Reimbursement_Rates!$A$2:$G$11,2,FALSE())</f>
        <v>Chest X-ray, 2 views</v>
      </c>
      <c r="F168" s="14" t="n">
        <f aca="false">VLOOKUP(B168,Reimbursement_Rates!$A$2:$G$11,4,FALSE())</f>
        <v>48</v>
      </c>
      <c r="G168" s="14" t="n">
        <f aca="false">D168-F168</f>
        <v>15.09</v>
      </c>
    </row>
    <row r="169" customFormat="false" ht="15" hidden="false" customHeight="false" outlineLevel="0" collapsed="false">
      <c r="A169" s="12" t="n">
        <f aca="false">Claims_Data!A169</f>
        <v>100168</v>
      </c>
      <c r="B169" s="12" t="str">
        <f aca="false">Claims_Data!E169</f>
        <v>99203</v>
      </c>
      <c r="C169" s="12" t="str">
        <f aca="false">Claims_Data!D169</f>
        <v>Commercial - Aetna</v>
      </c>
      <c r="D169" s="13" t="n">
        <f aca="false">Claims_Data!H169</f>
        <v>141.19</v>
      </c>
      <c r="E169" s="7" t="str">
        <f aca="false">VLOOKUP(B169,Reimbursement_Rates!$A$2:$G$11,2,FALSE())</f>
        <v>Office visit, new patient, low complexity</v>
      </c>
      <c r="F169" s="14" t="n">
        <f aca="false">VLOOKUP(B169,Reimbursement_Rates!$A$2:$G$11,4,FALSE())</f>
        <v>112</v>
      </c>
      <c r="G169" s="14" t="n">
        <f aca="false">D169-F169</f>
        <v>29.19</v>
      </c>
    </row>
    <row r="170" customFormat="false" ht="15" hidden="false" customHeight="false" outlineLevel="0" collapsed="false">
      <c r="A170" s="12" t="n">
        <f aca="false">Claims_Data!A170</f>
        <v>100169</v>
      </c>
      <c r="B170" s="12" t="str">
        <f aca="false">Claims_Data!E170</f>
        <v>93000</v>
      </c>
      <c r="C170" s="12" t="str">
        <f aca="false">Claims_Data!D170</f>
        <v>Medicare</v>
      </c>
      <c r="D170" s="13" t="n">
        <f aca="false">Claims_Data!H170</f>
        <v>30.54</v>
      </c>
      <c r="E170" s="7" t="str">
        <f aca="false">VLOOKUP(B170,Reimbursement_Rates!$A$2:$G$11,2,FALSE())</f>
        <v>Electrocardiogram, complete</v>
      </c>
      <c r="F170" s="14" t="n">
        <f aca="false">VLOOKUP(B170,Reimbursement_Rates!$A$2:$G$11,4,FALSE())</f>
        <v>34</v>
      </c>
      <c r="G170" s="14" t="n">
        <f aca="false">D170-F170</f>
        <v>-3.46</v>
      </c>
    </row>
    <row r="171" customFormat="false" ht="15" hidden="false" customHeight="false" outlineLevel="0" collapsed="false">
      <c r="A171" s="12" t="n">
        <f aca="false">Claims_Data!A171</f>
        <v>100170</v>
      </c>
      <c r="B171" s="12" t="str">
        <f aca="false">Claims_Data!E171</f>
        <v>90935</v>
      </c>
      <c r="C171" s="12" t="str">
        <f aca="false">Claims_Data!D171</f>
        <v>Kaiser HMO</v>
      </c>
      <c r="D171" s="13" t="n">
        <f aca="false">Claims_Data!H171</f>
        <v>129.55</v>
      </c>
      <c r="E171" s="7" t="str">
        <f aca="false">VLOOKUP(B171,Reimbursement_Rates!$A$2:$G$11,2,FALSE())</f>
        <v>Hemodialysis, single evaluation</v>
      </c>
      <c r="F171" s="14" t="n">
        <f aca="false">VLOOKUP(B171,Reimbursement_Rates!$A$2:$G$11,4,FALSE())</f>
        <v>145</v>
      </c>
      <c r="G171" s="14" t="n">
        <f aca="false">D171-F171</f>
        <v>-15.45</v>
      </c>
    </row>
    <row r="172" customFormat="false" ht="15" hidden="false" customHeight="false" outlineLevel="0" collapsed="false">
      <c r="A172" s="12" t="n">
        <f aca="false">Claims_Data!A172</f>
        <v>100171</v>
      </c>
      <c r="B172" s="12" t="str">
        <f aca="false">Claims_Data!E172</f>
        <v>90935</v>
      </c>
      <c r="C172" s="12" t="str">
        <f aca="false">Claims_Data!D172</f>
        <v>Medicare</v>
      </c>
      <c r="D172" s="13" t="n">
        <f aca="false">Claims_Data!H172</f>
        <v>146.95</v>
      </c>
      <c r="E172" s="7" t="str">
        <f aca="false">VLOOKUP(B172,Reimbursement_Rates!$A$2:$G$11,2,FALSE())</f>
        <v>Hemodialysis, single evaluation</v>
      </c>
      <c r="F172" s="14" t="n">
        <f aca="false">VLOOKUP(B172,Reimbursement_Rates!$A$2:$G$11,4,FALSE())</f>
        <v>145</v>
      </c>
      <c r="G172" s="14" t="n">
        <f aca="false">D172-F172</f>
        <v>1.94999999999999</v>
      </c>
    </row>
    <row r="173" customFormat="false" ht="15" hidden="false" customHeight="false" outlineLevel="0" collapsed="false">
      <c r="A173" s="12" t="n">
        <f aca="false">Claims_Data!A173</f>
        <v>100172</v>
      </c>
      <c r="B173" s="12" t="str">
        <f aca="false">Claims_Data!E173</f>
        <v>71046</v>
      </c>
      <c r="C173" s="12" t="str">
        <f aca="false">Claims_Data!D173</f>
        <v>Medicare</v>
      </c>
      <c r="D173" s="13" t="n">
        <f aca="false">Claims_Data!H173</f>
        <v>48.45</v>
      </c>
      <c r="E173" s="7" t="str">
        <f aca="false">VLOOKUP(B173,Reimbursement_Rates!$A$2:$G$11,2,FALSE())</f>
        <v>Chest X-ray, 2 views</v>
      </c>
      <c r="F173" s="14" t="n">
        <f aca="false">VLOOKUP(B173,Reimbursement_Rates!$A$2:$G$11,4,FALSE())</f>
        <v>48</v>
      </c>
      <c r="G173" s="14" t="n">
        <f aca="false">D173-F173</f>
        <v>0.450000000000003</v>
      </c>
    </row>
    <row r="174" customFormat="false" ht="15" hidden="false" customHeight="false" outlineLevel="0" collapsed="false">
      <c r="A174" s="12" t="n">
        <f aca="false">Claims_Data!A174</f>
        <v>100173</v>
      </c>
      <c r="B174" s="12" t="str">
        <f aca="false">Claims_Data!E174</f>
        <v>99214</v>
      </c>
      <c r="C174" s="12" t="str">
        <f aca="false">Claims_Data!D174</f>
        <v>Commercial - Aetna</v>
      </c>
      <c r="D174" s="13" t="n">
        <f aca="false">Claims_Data!H174</f>
        <v>142.34</v>
      </c>
      <c r="E174" s="7" t="str">
        <f aca="false">VLOOKUP(B174,Reimbursement_Rates!$A$2:$G$11,2,FALSE())</f>
        <v>Office visit, established patient, moderate complexity</v>
      </c>
      <c r="F174" s="14" t="n">
        <f aca="false">VLOOKUP(B174,Reimbursement_Rates!$A$2:$G$11,4,FALSE())</f>
        <v>128</v>
      </c>
      <c r="G174" s="14" t="n">
        <f aca="false">D174-F174</f>
        <v>14.34</v>
      </c>
    </row>
    <row r="175" customFormat="false" ht="15" hidden="false" customHeight="false" outlineLevel="0" collapsed="false">
      <c r="A175" s="12" t="n">
        <f aca="false">Claims_Data!A175</f>
        <v>100174</v>
      </c>
      <c r="B175" s="12" t="str">
        <f aca="false">Claims_Data!E175</f>
        <v>93000</v>
      </c>
      <c r="C175" s="12" t="str">
        <f aca="false">Claims_Data!D175</f>
        <v>Commercial - Blue Shield</v>
      </c>
      <c r="D175" s="13" t="n">
        <f aca="false">Claims_Data!H175</f>
        <v>43.25</v>
      </c>
      <c r="E175" s="7" t="str">
        <f aca="false">VLOOKUP(B175,Reimbursement_Rates!$A$2:$G$11,2,FALSE())</f>
        <v>Electrocardiogram, complete</v>
      </c>
      <c r="F175" s="14" t="n">
        <f aca="false">VLOOKUP(B175,Reimbursement_Rates!$A$2:$G$11,4,FALSE())</f>
        <v>34</v>
      </c>
      <c r="G175" s="14" t="n">
        <f aca="false">D175-F175</f>
        <v>9.25</v>
      </c>
    </row>
    <row r="176" customFormat="false" ht="15" hidden="false" customHeight="false" outlineLevel="0" collapsed="false">
      <c r="A176" s="12" t="n">
        <f aca="false">Claims_Data!A176</f>
        <v>100175</v>
      </c>
      <c r="B176" s="12" t="str">
        <f aca="false">Claims_Data!E176</f>
        <v>99215</v>
      </c>
      <c r="C176" s="12" t="str">
        <f aca="false">Claims_Data!D176</f>
        <v>Medicaid</v>
      </c>
      <c r="D176" s="13" t="n">
        <f aca="false">Claims_Data!H176</f>
        <v>96.99</v>
      </c>
      <c r="E176" s="7" t="str">
        <f aca="false">VLOOKUP(B176,Reimbursement_Rates!$A$2:$G$11,2,FALSE())</f>
        <v>Office visit, established patient, high complexity</v>
      </c>
      <c r="F176" s="14" t="n">
        <f aca="false">VLOOKUP(B176,Reimbursement_Rates!$A$2:$G$11,4,FALSE())</f>
        <v>183</v>
      </c>
      <c r="G176" s="14" t="n">
        <f aca="false">D176-F176</f>
        <v>-86.01</v>
      </c>
    </row>
    <row r="177" customFormat="false" ht="15" hidden="false" customHeight="false" outlineLevel="0" collapsed="false">
      <c r="A177" s="12" t="n">
        <f aca="false">Claims_Data!A177</f>
        <v>100176</v>
      </c>
      <c r="B177" s="12" t="str">
        <f aca="false">Claims_Data!E177</f>
        <v>71046</v>
      </c>
      <c r="C177" s="12" t="str">
        <f aca="false">Claims_Data!D177</f>
        <v>Kaiser HMO</v>
      </c>
      <c r="D177" s="13" t="n">
        <f aca="false">Claims_Data!H177</f>
        <v>52.01</v>
      </c>
      <c r="E177" s="7" t="str">
        <f aca="false">VLOOKUP(B177,Reimbursement_Rates!$A$2:$G$11,2,FALSE())</f>
        <v>Chest X-ray, 2 views</v>
      </c>
      <c r="F177" s="14" t="n">
        <f aca="false">VLOOKUP(B177,Reimbursement_Rates!$A$2:$G$11,4,FALSE())</f>
        <v>48</v>
      </c>
      <c r="G177" s="14" t="n">
        <f aca="false">D177-F177</f>
        <v>4.01</v>
      </c>
    </row>
    <row r="178" customFormat="false" ht="15" hidden="false" customHeight="false" outlineLevel="0" collapsed="false">
      <c r="A178" s="12" t="n">
        <f aca="false">Claims_Data!A178</f>
        <v>100177</v>
      </c>
      <c r="B178" s="12" t="str">
        <f aca="false">Claims_Data!E178</f>
        <v>36415</v>
      </c>
      <c r="C178" s="12" t="str">
        <f aca="false">Claims_Data!D178</f>
        <v>Medicare</v>
      </c>
      <c r="D178" s="13" t="n">
        <f aca="false">Claims_Data!H178</f>
        <v>13.7</v>
      </c>
      <c r="E178" s="7" t="str">
        <f aca="false">VLOOKUP(B178,Reimbursement_Rates!$A$2:$G$11,2,FALSE())</f>
        <v>Routine venipuncture</v>
      </c>
      <c r="F178" s="14" t="n">
        <f aca="false">VLOOKUP(B178,Reimbursement_Rates!$A$2:$G$11,4,FALSE())</f>
        <v>12</v>
      </c>
      <c r="G178" s="14" t="n">
        <f aca="false">D178-F178</f>
        <v>1.7</v>
      </c>
    </row>
    <row r="179" customFormat="false" ht="15" hidden="false" customHeight="false" outlineLevel="0" collapsed="false">
      <c r="A179" s="12" t="n">
        <f aca="false">Claims_Data!A179</f>
        <v>100178</v>
      </c>
      <c r="B179" s="12" t="str">
        <f aca="false">Claims_Data!E179</f>
        <v>99203</v>
      </c>
      <c r="C179" s="12" t="str">
        <f aca="false">Claims_Data!D179</f>
        <v>Commercial - Aetna</v>
      </c>
      <c r="D179" s="13" t="n">
        <f aca="false">Claims_Data!H179</f>
        <v>147.92</v>
      </c>
      <c r="E179" s="7" t="str">
        <f aca="false">VLOOKUP(B179,Reimbursement_Rates!$A$2:$G$11,2,FALSE())</f>
        <v>Office visit, new patient, low complexity</v>
      </c>
      <c r="F179" s="14" t="n">
        <f aca="false">VLOOKUP(B179,Reimbursement_Rates!$A$2:$G$11,4,FALSE())</f>
        <v>112</v>
      </c>
      <c r="G179" s="14" t="n">
        <f aca="false">D179-F179</f>
        <v>35.92</v>
      </c>
    </row>
    <row r="180" customFormat="false" ht="15" hidden="false" customHeight="false" outlineLevel="0" collapsed="false">
      <c r="A180" s="12" t="n">
        <f aca="false">Claims_Data!A180</f>
        <v>100179</v>
      </c>
      <c r="B180" s="12" t="str">
        <f aca="false">Claims_Data!E180</f>
        <v>99204</v>
      </c>
      <c r="C180" s="12" t="str">
        <f aca="false">Claims_Data!D180</f>
        <v>Commercial - Blue Shield</v>
      </c>
      <c r="D180" s="13" t="n">
        <f aca="false">Claims_Data!H180</f>
        <v>225.34</v>
      </c>
      <c r="E180" s="7" t="str">
        <f aca="false">VLOOKUP(B180,Reimbursement_Rates!$A$2:$G$11,2,FALSE())</f>
        <v>Office visit, new patient, moderate complexity</v>
      </c>
      <c r="F180" s="14" t="n">
        <f aca="false">VLOOKUP(B180,Reimbursement_Rates!$A$2:$G$11,4,FALSE())</f>
        <v>178</v>
      </c>
      <c r="G180" s="14" t="n">
        <f aca="false">D180-F180</f>
        <v>47.34</v>
      </c>
    </row>
    <row r="181" customFormat="false" ht="15" hidden="false" customHeight="false" outlineLevel="0" collapsed="false">
      <c r="A181" s="12" t="n">
        <f aca="false">Claims_Data!A181</f>
        <v>100180</v>
      </c>
      <c r="B181" s="12" t="str">
        <f aca="false">Claims_Data!E181</f>
        <v>99213</v>
      </c>
      <c r="C181" s="12" t="str">
        <f aca="false">Claims_Data!D181</f>
        <v>Kaiser HMO</v>
      </c>
      <c r="D181" s="13" t="n">
        <f aca="false">Claims_Data!H181</f>
        <v>95.66</v>
      </c>
      <c r="E181" s="7" t="str">
        <f aca="false">VLOOKUP(B181,Reimbursement_Rates!$A$2:$G$11,2,FALSE())</f>
        <v>Office visit, established patient, low complexity</v>
      </c>
      <c r="F181" s="14" t="n">
        <f aca="false">VLOOKUP(B181,Reimbursement_Rates!$A$2:$G$11,4,FALSE())</f>
        <v>92</v>
      </c>
      <c r="G181" s="14" t="n">
        <f aca="false">D181-F181</f>
        <v>3.66</v>
      </c>
    </row>
    <row r="182" customFormat="false" ht="15" hidden="false" customHeight="false" outlineLevel="0" collapsed="false">
      <c r="A182" s="12" t="n">
        <f aca="false">Claims_Data!A182</f>
        <v>100181</v>
      </c>
      <c r="B182" s="12" t="str">
        <f aca="false">Claims_Data!E182</f>
        <v>99214</v>
      </c>
      <c r="C182" s="12" t="str">
        <f aca="false">Claims_Data!D182</f>
        <v>Kaiser HMO</v>
      </c>
      <c r="D182" s="13" t="n">
        <f aca="false">Claims_Data!H182</f>
        <v>146.88</v>
      </c>
      <c r="E182" s="7" t="str">
        <f aca="false">VLOOKUP(B182,Reimbursement_Rates!$A$2:$G$11,2,FALSE())</f>
        <v>Office visit, established patient, moderate complexity</v>
      </c>
      <c r="F182" s="14" t="n">
        <f aca="false">VLOOKUP(B182,Reimbursement_Rates!$A$2:$G$11,4,FALSE())</f>
        <v>128</v>
      </c>
      <c r="G182" s="14" t="n">
        <f aca="false">D182-F182</f>
        <v>18.88</v>
      </c>
    </row>
    <row r="183" customFormat="false" ht="15" hidden="false" customHeight="false" outlineLevel="0" collapsed="false">
      <c r="A183" s="12" t="n">
        <f aca="false">Claims_Data!A183</f>
        <v>100182</v>
      </c>
      <c r="B183" s="12" t="str">
        <f aca="false">Claims_Data!E183</f>
        <v>80053</v>
      </c>
      <c r="C183" s="12" t="str">
        <f aca="false">Claims_Data!D183</f>
        <v>Medicaid</v>
      </c>
      <c r="D183" s="13" t="n">
        <f aca="false">Claims_Data!H183</f>
        <v>0</v>
      </c>
      <c r="E183" s="7" t="str">
        <f aca="false">VLOOKUP(B183,Reimbursement_Rates!$A$2:$G$11,2,FALSE())</f>
        <v>Comprehensive metabolic panel</v>
      </c>
      <c r="F183" s="14" t="n">
        <f aca="false">VLOOKUP(B183,Reimbursement_Rates!$A$2:$G$11,4,FALSE())</f>
        <v>21</v>
      </c>
      <c r="G183" s="14" t="n">
        <f aca="false">D183-F183</f>
        <v>-21</v>
      </c>
    </row>
    <row r="184" customFormat="false" ht="15" hidden="false" customHeight="false" outlineLevel="0" collapsed="false">
      <c r="A184" s="12" t="n">
        <f aca="false">Claims_Data!A184</f>
        <v>100183</v>
      </c>
      <c r="B184" s="12" t="str">
        <f aca="false">Claims_Data!E184</f>
        <v>90935</v>
      </c>
      <c r="C184" s="12" t="str">
        <f aca="false">Claims_Data!D184</f>
        <v>Commercial - Aetna</v>
      </c>
      <c r="D184" s="13" t="n">
        <f aca="false">Claims_Data!H184</f>
        <v>0</v>
      </c>
      <c r="E184" s="7" t="str">
        <f aca="false">VLOOKUP(B184,Reimbursement_Rates!$A$2:$G$11,2,FALSE())</f>
        <v>Hemodialysis, single evaluation</v>
      </c>
      <c r="F184" s="14" t="n">
        <f aca="false">VLOOKUP(B184,Reimbursement_Rates!$A$2:$G$11,4,FALSE())</f>
        <v>145</v>
      </c>
      <c r="G184" s="14" t="n">
        <f aca="false">D184-F184</f>
        <v>-145</v>
      </c>
    </row>
    <row r="185" customFormat="false" ht="15" hidden="false" customHeight="false" outlineLevel="0" collapsed="false">
      <c r="A185" s="12" t="n">
        <f aca="false">Claims_Data!A185</f>
        <v>100184</v>
      </c>
      <c r="B185" s="12" t="str">
        <f aca="false">Claims_Data!E185</f>
        <v>90935</v>
      </c>
      <c r="C185" s="12" t="str">
        <f aca="false">Claims_Data!D185</f>
        <v>Medicare</v>
      </c>
      <c r="D185" s="13" t="n">
        <f aca="false">Claims_Data!H185</f>
        <v>147.54</v>
      </c>
      <c r="E185" s="7" t="str">
        <f aca="false">VLOOKUP(B185,Reimbursement_Rates!$A$2:$G$11,2,FALSE())</f>
        <v>Hemodialysis, single evaluation</v>
      </c>
      <c r="F185" s="14" t="n">
        <f aca="false">VLOOKUP(B185,Reimbursement_Rates!$A$2:$G$11,4,FALSE())</f>
        <v>145</v>
      </c>
      <c r="G185" s="14" t="n">
        <f aca="false">D185-F185</f>
        <v>2.53999999999999</v>
      </c>
    </row>
    <row r="186" customFormat="false" ht="15" hidden="false" customHeight="false" outlineLevel="0" collapsed="false">
      <c r="A186" s="12" t="n">
        <f aca="false">Claims_Data!A186</f>
        <v>100185</v>
      </c>
      <c r="B186" s="12" t="str">
        <f aca="false">Claims_Data!E186</f>
        <v>80053</v>
      </c>
      <c r="C186" s="12" t="str">
        <f aca="false">Claims_Data!D186</f>
        <v>Kaiser HMO</v>
      </c>
      <c r="D186" s="13" t="n">
        <f aca="false">Claims_Data!H186</f>
        <v>17.37</v>
      </c>
      <c r="E186" s="7" t="str">
        <f aca="false">VLOOKUP(B186,Reimbursement_Rates!$A$2:$G$11,2,FALSE())</f>
        <v>Comprehensive metabolic panel</v>
      </c>
      <c r="F186" s="14" t="n">
        <f aca="false">VLOOKUP(B186,Reimbursement_Rates!$A$2:$G$11,4,FALSE())</f>
        <v>21</v>
      </c>
      <c r="G186" s="14" t="n">
        <f aca="false">D186-F186</f>
        <v>-3.63</v>
      </c>
    </row>
    <row r="187" customFormat="false" ht="15" hidden="false" customHeight="false" outlineLevel="0" collapsed="false">
      <c r="A187" s="12" t="n">
        <f aca="false">Claims_Data!A187</f>
        <v>100186</v>
      </c>
      <c r="B187" s="12" t="str">
        <f aca="false">Claims_Data!E187</f>
        <v>99204</v>
      </c>
      <c r="C187" s="12" t="str">
        <f aca="false">Claims_Data!D187</f>
        <v>Medicare</v>
      </c>
      <c r="D187" s="13" t="n">
        <f aca="false">Claims_Data!H187</f>
        <v>203.16</v>
      </c>
      <c r="E187" s="7" t="str">
        <f aca="false">VLOOKUP(B187,Reimbursement_Rates!$A$2:$G$11,2,FALSE())</f>
        <v>Office visit, new patient, moderate complexity</v>
      </c>
      <c r="F187" s="14" t="n">
        <f aca="false">VLOOKUP(B187,Reimbursement_Rates!$A$2:$G$11,4,FALSE())</f>
        <v>178</v>
      </c>
      <c r="G187" s="14" t="n">
        <f aca="false">D187-F187</f>
        <v>25.16</v>
      </c>
    </row>
    <row r="188" customFormat="false" ht="15" hidden="false" customHeight="false" outlineLevel="0" collapsed="false">
      <c r="A188" s="12" t="n">
        <f aca="false">Claims_Data!A188</f>
        <v>100187</v>
      </c>
      <c r="B188" s="12" t="str">
        <f aca="false">Claims_Data!E188</f>
        <v>99203</v>
      </c>
      <c r="C188" s="12" t="str">
        <f aca="false">Claims_Data!D188</f>
        <v>Kaiser HMO</v>
      </c>
      <c r="D188" s="13" t="n">
        <f aca="false">Claims_Data!H188</f>
        <v>122.12</v>
      </c>
      <c r="E188" s="7" t="str">
        <f aca="false">VLOOKUP(B188,Reimbursement_Rates!$A$2:$G$11,2,FALSE())</f>
        <v>Office visit, new patient, low complexity</v>
      </c>
      <c r="F188" s="14" t="n">
        <f aca="false">VLOOKUP(B188,Reimbursement_Rates!$A$2:$G$11,4,FALSE())</f>
        <v>112</v>
      </c>
      <c r="G188" s="14" t="n">
        <f aca="false">D188-F188</f>
        <v>10.12</v>
      </c>
    </row>
    <row r="189" customFormat="false" ht="15" hidden="false" customHeight="false" outlineLevel="0" collapsed="false">
      <c r="A189" s="12" t="n">
        <f aca="false">Claims_Data!A189</f>
        <v>100188</v>
      </c>
      <c r="B189" s="12" t="str">
        <f aca="false">Claims_Data!E189</f>
        <v>80053</v>
      </c>
      <c r="C189" s="12" t="str">
        <f aca="false">Claims_Data!D189</f>
        <v>Medicare</v>
      </c>
      <c r="D189" s="13" t="n">
        <f aca="false">Claims_Data!H189</f>
        <v>20.67</v>
      </c>
      <c r="E189" s="7" t="str">
        <f aca="false">VLOOKUP(B189,Reimbursement_Rates!$A$2:$G$11,2,FALSE())</f>
        <v>Comprehensive metabolic panel</v>
      </c>
      <c r="F189" s="14" t="n">
        <f aca="false">VLOOKUP(B189,Reimbursement_Rates!$A$2:$G$11,4,FALSE())</f>
        <v>21</v>
      </c>
      <c r="G189" s="14" t="n">
        <f aca="false">D189-F189</f>
        <v>-0.329999999999998</v>
      </c>
    </row>
    <row r="190" customFormat="false" ht="15" hidden="false" customHeight="false" outlineLevel="0" collapsed="false">
      <c r="A190" s="12" t="n">
        <f aca="false">Claims_Data!A190</f>
        <v>100189</v>
      </c>
      <c r="B190" s="12" t="str">
        <f aca="false">Claims_Data!E190</f>
        <v>99213</v>
      </c>
      <c r="C190" s="12" t="str">
        <f aca="false">Claims_Data!D190</f>
        <v>Commercial - Blue Shield</v>
      </c>
      <c r="D190" s="13" t="n">
        <f aca="false">Claims_Data!H190</f>
        <v>119.16</v>
      </c>
      <c r="E190" s="7" t="str">
        <f aca="false">VLOOKUP(B190,Reimbursement_Rates!$A$2:$G$11,2,FALSE())</f>
        <v>Office visit, established patient, low complexity</v>
      </c>
      <c r="F190" s="14" t="n">
        <f aca="false">VLOOKUP(B190,Reimbursement_Rates!$A$2:$G$11,4,FALSE())</f>
        <v>92</v>
      </c>
      <c r="G190" s="14" t="n">
        <f aca="false">D190-F190</f>
        <v>27.16</v>
      </c>
    </row>
    <row r="191" customFormat="false" ht="15" hidden="false" customHeight="false" outlineLevel="0" collapsed="false">
      <c r="A191" s="12" t="n">
        <f aca="false">Claims_Data!A191</f>
        <v>100190</v>
      </c>
      <c r="B191" s="12" t="str">
        <f aca="false">Claims_Data!E191</f>
        <v>93000</v>
      </c>
      <c r="C191" s="12" t="str">
        <f aca="false">Claims_Data!D191</f>
        <v>Medicare</v>
      </c>
      <c r="D191" s="13" t="n">
        <f aca="false">Claims_Data!H191</f>
        <v>33.02</v>
      </c>
      <c r="E191" s="7" t="str">
        <f aca="false">VLOOKUP(B191,Reimbursement_Rates!$A$2:$G$11,2,FALSE())</f>
        <v>Electrocardiogram, complete</v>
      </c>
      <c r="F191" s="14" t="n">
        <f aca="false">VLOOKUP(B191,Reimbursement_Rates!$A$2:$G$11,4,FALSE())</f>
        <v>34</v>
      </c>
      <c r="G191" s="14" t="n">
        <f aca="false">D191-F191</f>
        <v>-0.979999999999997</v>
      </c>
    </row>
    <row r="192" customFormat="false" ht="15" hidden="false" customHeight="false" outlineLevel="0" collapsed="false">
      <c r="A192" s="12" t="n">
        <f aca="false">Claims_Data!A192</f>
        <v>100191</v>
      </c>
      <c r="B192" s="12" t="str">
        <f aca="false">Claims_Data!E192</f>
        <v>90935</v>
      </c>
      <c r="C192" s="12" t="str">
        <f aca="false">Claims_Data!D192</f>
        <v>Commercial - Blue Shield</v>
      </c>
      <c r="D192" s="13" t="n">
        <f aca="false">Claims_Data!H192</f>
        <v>143.8</v>
      </c>
      <c r="E192" s="7" t="str">
        <f aca="false">VLOOKUP(B192,Reimbursement_Rates!$A$2:$G$11,2,FALSE())</f>
        <v>Hemodialysis, single evaluation</v>
      </c>
      <c r="F192" s="14" t="n">
        <f aca="false">VLOOKUP(B192,Reimbursement_Rates!$A$2:$G$11,4,FALSE())</f>
        <v>145</v>
      </c>
      <c r="G192" s="14" t="n">
        <f aca="false">D192-F192</f>
        <v>-1.19999999999999</v>
      </c>
    </row>
    <row r="193" customFormat="false" ht="15" hidden="false" customHeight="false" outlineLevel="0" collapsed="false">
      <c r="A193" s="12" t="n">
        <f aca="false">Claims_Data!A193</f>
        <v>100192</v>
      </c>
      <c r="B193" s="12" t="str">
        <f aca="false">Claims_Data!E193</f>
        <v>99213</v>
      </c>
      <c r="C193" s="12" t="str">
        <f aca="false">Claims_Data!D193</f>
        <v>Medicaid</v>
      </c>
      <c r="D193" s="13" t="n">
        <f aca="false">Claims_Data!H193</f>
        <v>62.21</v>
      </c>
      <c r="E193" s="7" t="str">
        <f aca="false">VLOOKUP(B193,Reimbursement_Rates!$A$2:$G$11,2,FALSE())</f>
        <v>Office visit, established patient, low complexity</v>
      </c>
      <c r="F193" s="14" t="n">
        <f aca="false">VLOOKUP(B193,Reimbursement_Rates!$A$2:$G$11,4,FALSE())</f>
        <v>92</v>
      </c>
      <c r="G193" s="14" t="n">
        <f aca="false">D193-F193</f>
        <v>-29.79</v>
      </c>
    </row>
    <row r="194" customFormat="false" ht="15" hidden="false" customHeight="false" outlineLevel="0" collapsed="false">
      <c r="A194" s="12" t="n">
        <f aca="false">Claims_Data!A194</f>
        <v>100193</v>
      </c>
      <c r="B194" s="12" t="str">
        <f aca="false">Claims_Data!E194</f>
        <v>99215</v>
      </c>
      <c r="C194" s="12" t="str">
        <f aca="false">Claims_Data!D194</f>
        <v>Medicaid</v>
      </c>
      <c r="D194" s="13" t="n">
        <f aca="false">Claims_Data!H194</f>
        <v>119.5</v>
      </c>
      <c r="E194" s="7" t="str">
        <f aca="false">VLOOKUP(B194,Reimbursement_Rates!$A$2:$G$11,2,FALSE())</f>
        <v>Office visit, established patient, high complexity</v>
      </c>
      <c r="F194" s="14" t="n">
        <f aca="false">VLOOKUP(B194,Reimbursement_Rates!$A$2:$G$11,4,FALSE())</f>
        <v>183</v>
      </c>
      <c r="G194" s="14" t="n">
        <f aca="false">D194-F194</f>
        <v>-63.5</v>
      </c>
    </row>
    <row r="195" customFormat="false" ht="15" hidden="false" customHeight="false" outlineLevel="0" collapsed="false">
      <c r="A195" s="12" t="n">
        <f aca="false">Claims_Data!A195</f>
        <v>100194</v>
      </c>
      <c r="B195" s="12" t="str">
        <f aca="false">Claims_Data!E195</f>
        <v>90935</v>
      </c>
      <c r="C195" s="12" t="str">
        <f aca="false">Claims_Data!D195</f>
        <v>Medicare</v>
      </c>
      <c r="D195" s="13" t="n">
        <f aca="false">Claims_Data!H195</f>
        <v>164.06</v>
      </c>
      <c r="E195" s="7" t="str">
        <f aca="false">VLOOKUP(B195,Reimbursement_Rates!$A$2:$G$11,2,FALSE())</f>
        <v>Hemodialysis, single evaluation</v>
      </c>
      <c r="F195" s="14" t="n">
        <f aca="false">VLOOKUP(B195,Reimbursement_Rates!$A$2:$G$11,4,FALSE())</f>
        <v>145</v>
      </c>
      <c r="G195" s="14" t="n">
        <f aca="false">D195-F195</f>
        <v>19.06</v>
      </c>
    </row>
    <row r="196" customFormat="false" ht="15" hidden="false" customHeight="false" outlineLevel="0" collapsed="false">
      <c r="A196" s="12" t="n">
        <f aca="false">Claims_Data!A196</f>
        <v>100195</v>
      </c>
      <c r="B196" s="12" t="str">
        <f aca="false">Claims_Data!E196</f>
        <v>99204</v>
      </c>
      <c r="C196" s="12" t="str">
        <f aca="false">Claims_Data!D196</f>
        <v>Medicaid</v>
      </c>
      <c r="D196" s="13" t="n">
        <f aca="false">Claims_Data!H196</f>
        <v>129.78</v>
      </c>
      <c r="E196" s="7" t="str">
        <f aca="false">VLOOKUP(B196,Reimbursement_Rates!$A$2:$G$11,2,FALSE())</f>
        <v>Office visit, new patient, moderate complexity</v>
      </c>
      <c r="F196" s="14" t="n">
        <f aca="false">VLOOKUP(B196,Reimbursement_Rates!$A$2:$G$11,4,FALSE())</f>
        <v>178</v>
      </c>
      <c r="G196" s="14" t="n">
        <f aca="false">D196-F196</f>
        <v>-48.22</v>
      </c>
    </row>
    <row r="197" customFormat="false" ht="15" hidden="false" customHeight="false" outlineLevel="0" collapsed="false">
      <c r="A197" s="12" t="n">
        <f aca="false">Claims_Data!A197</f>
        <v>100196</v>
      </c>
      <c r="B197" s="12" t="str">
        <f aca="false">Claims_Data!E197</f>
        <v>36415</v>
      </c>
      <c r="C197" s="12" t="str">
        <f aca="false">Claims_Data!D197</f>
        <v>Commercial - Blue Shield</v>
      </c>
      <c r="D197" s="13" t="n">
        <f aca="false">Claims_Data!H197</f>
        <v>16.45</v>
      </c>
      <c r="E197" s="7" t="str">
        <f aca="false">VLOOKUP(B197,Reimbursement_Rates!$A$2:$G$11,2,FALSE())</f>
        <v>Routine venipuncture</v>
      </c>
      <c r="F197" s="14" t="n">
        <f aca="false">VLOOKUP(B197,Reimbursement_Rates!$A$2:$G$11,4,FALSE())</f>
        <v>12</v>
      </c>
      <c r="G197" s="14" t="n">
        <f aca="false">D197-F197</f>
        <v>4.45</v>
      </c>
    </row>
    <row r="198" customFormat="false" ht="15" hidden="false" customHeight="false" outlineLevel="0" collapsed="false">
      <c r="A198" s="12" t="n">
        <f aca="false">Claims_Data!A198</f>
        <v>100197</v>
      </c>
      <c r="B198" s="12" t="str">
        <f aca="false">Claims_Data!E198</f>
        <v>93000</v>
      </c>
      <c r="C198" s="12" t="str">
        <f aca="false">Claims_Data!D198</f>
        <v>Kaiser HMO</v>
      </c>
      <c r="D198" s="13" t="n">
        <f aca="false">Claims_Data!H198</f>
        <v>35.85</v>
      </c>
      <c r="E198" s="7" t="str">
        <f aca="false">VLOOKUP(B198,Reimbursement_Rates!$A$2:$G$11,2,FALSE())</f>
        <v>Electrocardiogram, complete</v>
      </c>
      <c r="F198" s="14" t="n">
        <f aca="false">VLOOKUP(B198,Reimbursement_Rates!$A$2:$G$11,4,FALSE())</f>
        <v>34</v>
      </c>
      <c r="G198" s="14" t="n">
        <f aca="false">D198-F198</f>
        <v>1.85</v>
      </c>
    </row>
    <row r="199" customFormat="false" ht="15" hidden="false" customHeight="false" outlineLevel="0" collapsed="false">
      <c r="A199" s="12" t="n">
        <f aca="false">Claims_Data!A199</f>
        <v>100198</v>
      </c>
      <c r="B199" s="12" t="str">
        <f aca="false">Claims_Data!E199</f>
        <v>99214</v>
      </c>
      <c r="C199" s="12" t="str">
        <f aca="false">Claims_Data!D199</f>
        <v>Kaiser HMO</v>
      </c>
      <c r="D199" s="13" t="n">
        <f aca="false">Claims_Data!H199</f>
        <v>137.84</v>
      </c>
      <c r="E199" s="7" t="str">
        <f aca="false">VLOOKUP(B199,Reimbursement_Rates!$A$2:$G$11,2,FALSE())</f>
        <v>Office visit, established patient, moderate complexity</v>
      </c>
      <c r="F199" s="14" t="n">
        <f aca="false">VLOOKUP(B199,Reimbursement_Rates!$A$2:$G$11,4,FALSE())</f>
        <v>128</v>
      </c>
      <c r="G199" s="14" t="n">
        <f aca="false">D199-F199</f>
        <v>9.84</v>
      </c>
    </row>
    <row r="200" customFormat="false" ht="15" hidden="false" customHeight="false" outlineLevel="0" collapsed="false">
      <c r="A200" s="12" t="n">
        <f aca="false">Claims_Data!A200</f>
        <v>100199</v>
      </c>
      <c r="B200" s="12" t="str">
        <f aca="false">Claims_Data!E200</f>
        <v>90935</v>
      </c>
      <c r="C200" s="12" t="str">
        <f aca="false">Claims_Data!D200</f>
        <v>Commercial - Blue Shield</v>
      </c>
      <c r="D200" s="13" t="n">
        <f aca="false">Claims_Data!H200</f>
        <v>213.6</v>
      </c>
      <c r="E200" s="7" t="str">
        <f aca="false">VLOOKUP(B200,Reimbursement_Rates!$A$2:$G$11,2,FALSE())</f>
        <v>Hemodialysis, single evaluation</v>
      </c>
      <c r="F200" s="14" t="n">
        <f aca="false">VLOOKUP(B200,Reimbursement_Rates!$A$2:$G$11,4,FALSE())</f>
        <v>145</v>
      </c>
      <c r="G200" s="14" t="n">
        <f aca="false">D200-F200</f>
        <v>68.6</v>
      </c>
    </row>
    <row r="201" customFormat="false" ht="15" hidden="false" customHeight="false" outlineLevel="0" collapsed="false">
      <c r="A201" s="12" t="n">
        <f aca="false">Claims_Data!A201</f>
        <v>100200</v>
      </c>
      <c r="B201" s="12" t="str">
        <f aca="false">Claims_Data!E201</f>
        <v>99214</v>
      </c>
      <c r="C201" s="12" t="str">
        <f aca="false">Claims_Data!D201</f>
        <v>Medicare</v>
      </c>
      <c r="D201" s="13" t="n">
        <f aca="false">Claims_Data!H201</f>
        <v>129.92</v>
      </c>
      <c r="E201" s="7" t="str">
        <f aca="false">VLOOKUP(B201,Reimbursement_Rates!$A$2:$G$11,2,FALSE())</f>
        <v>Office visit, established patient, moderate complexity</v>
      </c>
      <c r="F201" s="14" t="n">
        <f aca="false">VLOOKUP(B201,Reimbursement_Rates!$A$2:$G$11,4,FALSE())</f>
        <v>128</v>
      </c>
      <c r="G201" s="14" t="n">
        <f aca="false">D201-F201</f>
        <v>1.91999999999999</v>
      </c>
    </row>
    <row r="202" customFormat="false" ht="15" hidden="false" customHeight="false" outlineLevel="0" collapsed="false">
      <c r="A202" s="12" t="n">
        <f aca="false">Claims_Data!A202</f>
        <v>100201</v>
      </c>
      <c r="B202" s="12" t="str">
        <f aca="false">Claims_Data!E202</f>
        <v>71046</v>
      </c>
      <c r="C202" s="12" t="str">
        <f aca="false">Claims_Data!D202</f>
        <v>Medicaid</v>
      </c>
      <c r="D202" s="13" t="n">
        <f aca="false">Claims_Data!H202</f>
        <v>31.49</v>
      </c>
      <c r="E202" s="7" t="str">
        <f aca="false">VLOOKUP(B202,Reimbursement_Rates!$A$2:$G$11,2,FALSE())</f>
        <v>Chest X-ray, 2 views</v>
      </c>
      <c r="F202" s="14" t="n">
        <f aca="false">VLOOKUP(B202,Reimbursement_Rates!$A$2:$G$11,4,FALSE())</f>
        <v>48</v>
      </c>
      <c r="G202" s="14" t="n">
        <f aca="false">D202-F202</f>
        <v>-16.51</v>
      </c>
    </row>
    <row r="203" customFormat="false" ht="15" hidden="false" customHeight="false" outlineLevel="0" collapsed="false">
      <c r="A203" s="12" t="n">
        <f aca="false">Claims_Data!A203</f>
        <v>100202</v>
      </c>
      <c r="B203" s="12" t="str">
        <f aca="false">Claims_Data!E203</f>
        <v>71046</v>
      </c>
      <c r="C203" s="12" t="str">
        <f aca="false">Claims_Data!D203</f>
        <v>Commercial - Blue Shield</v>
      </c>
      <c r="D203" s="13" t="n">
        <f aca="false">Claims_Data!H203</f>
        <v>61.52</v>
      </c>
      <c r="E203" s="7" t="str">
        <f aca="false">VLOOKUP(B203,Reimbursement_Rates!$A$2:$G$11,2,FALSE())</f>
        <v>Chest X-ray, 2 views</v>
      </c>
      <c r="F203" s="14" t="n">
        <f aca="false">VLOOKUP(B203,Reimbursement_Rates!$A$2:$G$11,4,FALSE())</f>
        <v>48</v>
      </c>
      <c r="G203" s="14" t="n">
        <f aca="false">D203-F203</f>
        <v>13.52</v>
      </c>
    </row>
    <row r="204" customFormat="false" ht="15" hidden="false" customHeight="false" outlineLevel="0" collapsed="false">
      <c r="A204" s="12" t="n">
        <f aca="false">Claims_Data!A204</f>
        <v>100203</v>
      </c>
      <c r="B204" s="12" t="str">
        <f aca="false">Claims_Data!E204</f>
        <v>99215</v>
      </c>
      <c r="C204" s="12" t="str">
        <f aca="false">Claims_Data!D204</f>
        <v>Commercial - Aetna</v>
      </c>
      <c r="D204" s="13" t="n">
        <f aca="false">Claims_Data!H204</f>
        <v>232.45</v>
      </c>
      <c r="E204" s="7" t="str">
        <f aca="false">VLOOKUP(B204,Reimbursement_Rates!$A$2:$G$11,2,FALSE())</f>
        <v>Office visit, established patient, high complexity</v>
      </c>
      <c r="F204" s="14" t="n">
        <f aca="false">VLOOKUP(B204,Reimbursement_Rates!$A$2:$G$11,4,FALSE())</f>
        <v>183</v>
      </c>
      <c r="G204" s="14" t="n">
        <f aca="false">D204-F204</f>
        <v>49.45</v>
      </c>
    </row>
    <row r="205" customFormat="false" ht="15" hidden="false" customHeight="false" outlineLevel="0" collapsed="false">
      <c r="A205" s="12" t="n">
        <f aca="false">Claims_Data!A205</f>
        <v>100204</v>
      </c>
      <c r="B205" s="12" t="str">
        <f aca="false">Claims_Data!E205</f>
        <v>80053</v>
      </c>
      <c r="C205" s="12" t="str">
        <f aca="false">Claims_Data!D205</f>
        <v>Medicaid</v>
      </c>
      <c r="D205" s="13" t="n">
        <f aca="false">Claims_Data!H205</f>
        <v>14.23</v>
      </c>
      <c r="E205" s="7" t="str">
        <f aca="false">VLOOKUP(B205,Reimbursement_Rates!$A$2:$G$11,2,FALSE())</f>
        <v>Comprehensive metabolic panel</v>
      </c>
      <c r="F205" s="14" t="n">
        <f aca="false">VLOOKUP(B205,Reimbursement_Rates!$A$2:$G$11,4,FALSE())</f>
        <v>21</v>
      </c>
      <c r="G205" s="14" t="n">
        <f aca="false">D205-F205</f>
        <v>-6.77</v>
      </c>
    </row>
    <row r="206" customFormat="false" ht="15" hidden="false" customHeight="false" outlineLevel="0" collapsed="false">
      <c r="A206" s="12" t="n">
        <f aca="false">Claims_Data!A206</f>
        <v>100205</v>
      </c>
      <c r="B206" s="12" t="str">
        <f aca="false">Claims_Data!E206</f>
        <v>99204</v>
      </c>
      <c r="C206" s="12" t="str">
        <f aca="false">Claims_Data!D206</f>
        <v>Commercial - Aetna</v>
      </c>
      <c r="D206" s="13" t="n">
        <f aca="false">Claims_Data!H206</f>
        <v>0</v>
      </c>
      <c r="E206" s="7" t="str">
        <f aca="false">VLOOKUP(B206,Reimbursement_Rates!$A$2:$G$11,2,FALSE())</f>
        <v>Office visit, new patient, moderate complexity</v>
      </c>
      <c r="F206" s="14" t="n">
        <f aca="false">VLOOKUP(B206,Reimbursement_Rates!$A$2:$G$11,4,FALSE())</f>
        <v>178</v>
      </c>
      <c r="G206" s="14" t="n">
        <f aca="false">D206-F206</f>
        <v>-178</v>
      </c>
    </row>
    <row r="207" customFormat="false" ht="15" hidden="false" customHeight="false" outlineLevel="0" collapsed="false">
      <c r="A207" s="12" t="n">
        <f aca="false">Claims_Data!A207</f>
        <v>100206</v>
      </c>
      <c r="B207" s="12" t="str">
        <f aca="false">Claims_Data!E207</f>
        <v>99214</v>
      </c>
      <c r="C207" s="12" t="str">
        <f aca="false">Claims_Data!D207</f>
        <v>Medicaid</v>
      </c>
      <c r="D207" s="13" t="n">
        <f aca="false">Claims_Data!H207</f>
        <v>81.92</v>
      </c>
      <c r="E207" s="7" t="str">
        <f aca="false">VLOOKUP(B207,Reimbursement_Rates!$A$2:$G$11,2,FALSE())</f>
        <v>Office visit, established patient, moderate complexity</v>
      </c>
      <c r="F207" s="14" t="n">
        <f aca="false">VLOOKUP(B207,Reimbursement_Rates!$A$2:$G$11,4,FALSE())</f>
        <v>128</v>
      </c>
      <c r="G207" s="14" t="n">
        <f aca="false">D207-F207</f>
        <v>-46.08</v>
      </c>
    </row>
    <row r="208" customFormat="false" ht="15" hidden="false" customHeight="false" outlineLevel="0" collapsed="false">
      <c r="A208" s="12" t="n">
        <f aca="false">Claims_Data!A208</f>
        <v>100207</v>
      </c>
      <c r="B208" s="12" t="str">
        <f aca="false">Claims_Data!E208</f>
        <v>93000</v>
      </c>
      <c r="C208" s="12" t="str">
        <f aca="false">Claims_Data!D208</f>
        <v>Medicare</v>
      </c>
      <c r="D208" s="13" t="n">
        <f aca="false">Claims_Data!H208</f>
        <v>39.33</v>
      </c>
      <c r="E208" s="7" t="str">
        <f aca="false">VLOOKUP(B208,Reimbursement_Rates!$A$2:$G$11,2,FALSE())</f>
        <v>Electrocardiogram, complete</v>
      </c>
      <c r="F208" s="14" t="n">
        <f aca="false">VLOOKUP(B208,Reimbursement_Rates!$A$2:$G$11,4,FALSE())</f>
        <v>34</v>
      </c>
      <c r="G208" s="14" t="n">
        <f aca="false">D208-F208</f>
        <v>5.33</v>
      </c>
    </row>
    <row r="209" customFormat="false" ht="15" hidden="false" customHeight="false" outlineLevel="0" collapsed="false">
      <c r="A209" s="12" t="n">
        <f aca="false">Claims_Data!A209</f>
        <v>100208</v>
      </c>
      <c r="B209" s="12" t="str">
        <f aca="false">Claims_Data!E209</f>
        <v>99203</v>
      </c>
      <c r="C209" s="12" t="str">
        <f aca="false">Claims_Data!D209</f>
        <v>Commercial - Aetna</v>
      </c>
      <c r="D209" s="13" t="n">
        <f aca="false">Claims_Data!H209</f>
        <v>147.53</v>
      </c>
      <c r="E209" s="7" t="str">
        <f aca="false">VLOOKUP(B209,Reimbursement_Rates!$A$2:$G$11,2,FALSE())</f>
        <v>Office visit, new patient, low complexity</v>
      </c>
      <c r="F209" s="14" t="n">
        <f aca="false">VLOOKUP(B209,Reimbursement_Rates!$A$2:$G$11,4,FALSE())</f>
        <v>112</v>
      </c>
      <c r="G209" s="14" t="n">
        <f aca="false">D209-F209</f>
        <v>35.53</v>
      </c>
    </row>
    <row r="210" customFormat="false" ht="15" hidden="false" customHeight="false" outlineLevel="0" collapsed="false">
      <c r="A210" s="12" t="n">
        <f aca="false">Claims_Data!A210</f>
        <v>100209</v>
      </c>
      <c r="B210" s="12" t="str">
        <f aca="false">Claims_Data!E210</f>
        <v>71046</v>
      </c>
      <c r="C210" s="12" t="str">
        <f aca="false">Claims_Data!D210</f>
        <v>Commercial - Aetna</v>
      </c>
      <c r="D210" s="13" t="n">
        <f aca="false">Claims_Data!H210</f>
        <v>62.42</v>
      </c>
      <c r="E210" s="7" t="str">
        <f aca="false">VLOOKUP(B210,Reimbursement_Rates!$A$2:$G$11,2,FALSE())</f>
        <v>Chest X-ray, 2 views</v>
      </c>
      <c r="F210" s="14" t="n">
        <f aca="false">VLOOKUP(B210,Reimbursement_Rates!$A$2:$G$11,4,FALSE())</f>
        <v>48</v>
      </c>
      <c r="G210" s="14" t="n">
        <f aca="false">D210-F210</f>
        <v>14.42</v>
      </c>
    </row>
    <row r="211" customFormat="false" ht="15" hidden="false" customHeight="false" outlineLevel="0" collapsed="false">
      <c r="A211" s="12" t="n">
        <f aca="false">Claims_Data!A211</f>
        <v>100210</v>
      </c>
      <c r="B211" s="12" t="str">
        <f aca="false">Claims_Data!E211</f>
        <v>36415</v>
      </c>
      <c r="C211" s="12" t="str">
        <f aca="false">Claims_Data!D211</f>
        <v>Kaiser HMO</v>
      </c>
      <c r="D211" s="13" t="n">
        <f aca="false">Claims_Data!H211</f>
        <v>13.21</v>
      </c>
      <c r="E211" s="7" t="str">
        <f aca="false">VLOOKUP(B211,Reimbursement_Rates!$A$2:$G$11,2,FALSE())</f>
        <v>Routine venipuncture</v>
      </c>
      <c r="F211" s="14" t="n">
        <f aca="false">VLOOKUP(B211,Reimbursement_Rates!$A$2:$G$11,4,FALSE())</f>
        <v>12</v>
      </c>
      <c r="G211" s="14" t="n">
        <f aca="false">D211-F211</f>
        <v>1.21</v>
      </c>
    </row>
    <row r="212" customFormat="false" ht="15" hidden="false" customHeight="false" outlineLevel="0" collapsed="false">
      <c r="A212" s="12" t="n">
        <f aca="false">Claims_Data!A212</f>
        <v>100211</v>
      </c>
      <c r="B212" s="12" t="str">
        <f aca="false">Claims_Data!E212</f>
        <v>99214</v>
      </c>
      <c r="C212" s="12" t="str">
        <f aca="false">Claims_Data!D212</f>
        <v>Kaiser HMO</v>
      </c>
      <c r="D212" s="13" t="n">
        <f aca="false">Claims_Data!H212</f>
        <v>140.11</v>
      </c>
      <c r="E212" s="7" t="str">
        <f aca="false">VLOOKUP(B212,Reimbursement_Rates!$A$2:$G$11,2,FALSE())</f>
        <v>Office visit, established patient, moderate complexity</v>
      </c>
      <c r="F212" s="14" t="n">
        <f aca="false">VLOOKUP(B212,Reimbursement_Rates!$A$2:$G$11,4,FALSE())</f>
        <v>128</v>
      </c>
      <c r="G212" s="14" t="n">
        <f aca="false">D212-F212</f>
        <v>12.11</v>
      </c>
    </row>
    <row r="213" customFormat="false" ht="15" hidden="false" customHeight="false" outlineLevel="0" collapsed="false">
      <c r="A213" s="12" t="n">
        <f aca="false">Claims_Data!A213</f>
        <v>100212</v>
      </c>
      <c r="B213" s="12" t="str">
        <f aca="false">Claims_Data!E213</f>
        <v>93000</v>
      </c>
      <c r="C213" s="12" t="str">
        <f aca="false">Claims_Data!D213</f>
        <v>Commercial - Blue Shield</v>
      </c>
      <c r="D213" s="13" t="n">
        <f aca="false">Claims_Data!H213</f>
        <v>43.08</v>
      </c>
      <c r="E213" s="7" t="str">
        <f aca="false">VLOOKUP(B213,Reimbursement_Rates!$A$2:$G$11,2,FALSE())</f>
        <v>Electrocardiogram, complete</v>
      </c>
      <c r="F213" s="14" t="n">
        <f aca="false">VLOOKUP(B213,Reimbursement_Rates!$A$2:$G$11,4,FALSE())</f>
        <v>34</v>
      </c>
      <c r="G213" s="14" t="n">
        <f aca="false">D213-F213</f>
        <v>9.08</v>
      </c>
    </row>
    <row r="214" customFormat="false" ht="15" hidden="false" customHeight="false" outlineLevel="0" collapsed="false">
      <c r="A214" s="12" t="n">
        <f aca="false">Claims_Data!A214</f>
        <v>100213</v>
      </c>
      <c r="B214" s="12" t="str">
        <f aca="false">Claims_Data!E214</f>
        <v>99203</v>
      </c>
      <c r="C214" s="12" t="str">
        <f aca="false">Claims_Data!D214</f>
        <v>Kaiser HMO</v>
      </c>
      <c r="D214" s="13" t="n">
        <f aca="false">Claims_Data!H214</f>
        <v>0</v>
      </c>
      <c r="E214" s="7" t="str">
        <f aca="false">VLOOKUP(B214,Reimbursement_Rates!$A$2:$G$11,2,FALSE())</f>
        <v>Office visit, new patient, low complexity</v>
      </c>
      <c r="F214" s="14" t="n">
        <f aca="false">VLOOKUP(B214,Reimbursement_Rates!$A$2:$G$11,4,FALSE())</f>
        <v>112</v>
      </c>
      <c r="G214" s="14" t="n">
        <f aca="false">D214-F214</f>
        <v>-112</v>
      </c>
    </row>
    <row r="215" customFormat="false" ht="15" hidden="false" customHeight="false" outlineLevel="0" collapsed="false">
      <c r="A215" s="12" t="n">
        <f aca="false">Claims_Data!A215</f>
        <v>100214</v>
      </c>
      <c r="B215" s="12" t="str">
        <f aca="false">Claims_Data!E215</f>
        <v>93000</v>
      </c>
      <c r="C215" s="12" t="str">
        <f aca="false">Claims_Data!D215</f>
        <v>Medicaid</v>
      </c>
      <c r="D215" s="13" t="n">
        <f aca="false">Claims_Data!H215</f>
        <v>21.46</v>
      </c>
      <c r="E215" s="7" t="str">
        <f aca="false">VLOOKUP(B215,Reimbursement_Rates!$A$2:$G$11,2,FALSE())</f>
        <v>Electrocardiogram, complete</v>
      </c>
      <c r="F215" s="14" t="n">
        <f aca="false">VLOOKUP(B215,Reimbursement_Rates!$A$2:$G$11,4,FALSE())</f>
        <v>34</v>
      </c>
      <c r="G215" s="14" t="n">
        <f aca="false">D215-F215</f>
        <v>-12.54</v>
      </c>
    </row>
    <row r="216" customFormat="false" ht="15" hidden="false" customHeight="false" outlineLevel="0" collapsed="false">
      <c r="A216" s="12" t="n">
        <f aca="false">Claims_Data!A216</f>
        <v>100215</v>
      </c>
      <c r="B216" s="12" t="str">
        <f aca="false">Claims_Data!E216</f>
        <v>71046</v>
      </c>
      <c r="C216" s="12" t="str">
        <f aca="false">Claims_Data!D216</f>
        <v>Medicaid</v>
      </c>
      <c r="D216" s="13" t="n">
        <f aca="false">Claims_Data!H216</f>
        <v>26.01</v>
      </c>
      <c r="E216" s="7" t="str">
        <f aca="false">VLOOKUP(B216,Reimbursement_Rates!$A$2:$G$11,2,FALSE())</f>
        <v>Chest X-ray, 2 views</v>
      </c>
      <c r="F216" s="14" t="n">
        <f aca="false">VLOOKUP(B216,Reimbursement_Rates!$A$2:$G$11,4,FALSE())</f>
        <v>48</v>
      </c>
      <c r="G216" s="14" t="n">
        <f aca="false">D216-F216</f>
        <v>-21.99</v>
      </c>
    </row>
    <row r="217" customFormat="false" ht="15" hidden="false" customHeight="false" outlineLevel="0" collapsed="false">
      <c r="A217" s="12" t="n">
        <f aca="false">Claims_Data!A217</f>
        <v>100216</v>
      </c>
      <c r="B217" s="12" t="str">
        <f aca="false">Claims_Data!E217</f>
        <v>71046</v>
      </c>
      <c r="C217" s="12" t="str">
        <f aca="false">Claims_Data!D217</f>
        <v>Medicare</v>
      </c>
      <c r="D217" s="13" t="n">
        <f aca="false">Claims_Data!H217</f>
        <v>48.34</v>
      </c>
      <c r="E217" s="7" t="str">
        <f aca="false">VLOOKUP(B217,Reimbursement_Rates!$A$2:$G$11,2,FALSE())</f>
        <v>Chest X-ray, 2 views</v>
      </c>
      <c r="F217" s="14" t="n">
        <f aca="false">VLOOKUP(B217,Reimbursement_Rates!$A$2:$G$11,4,FALSE())</f>
        <v>48</v>
      </c>
      <c r="G217" s="14" t="n">
        <f aca="false">D217-F217</f>
        <v>0.340000000000003</v>
      </c>
    </row>
    <row r="218" customFormat="false" ht="15" hidden="false" customHeight="false" outlineLevel="0" collapsed="false">
      <c r="A218" s="12" t="n">
        <f aca="false">Claims_Data!A218</f>
        <v>100217</v>
      </c>
      <c r="B218" s="12" t="str">
        <f aca="false">Claims_Data!E218</f>
        <v>99204</v>
      </c>
      <c r="C218" s="12" t="str">
        <f aca="false">Claims_Data!D218</f>
        <v>Commercial - Aetna</v>
      </c>
      <c r="D218" s="13" t="n">
        <f aca="false">Claims_Data!H218</f>
        <v>234.24</v>
      </c>
      <c r="E218" s="7" t="str">
        <f aca="false">VLOOKUP(B218,Reimbursement_Rates!$A$2:$G$11,2,FALSE())</f>
        <v>Office visit, new patient, moderate complexity</v>
      </c>
      <c r="F218" s="14" t="n">
        <f aca="false">VLOOKUP(B218,Reimbursement_Rates!$A$2:$G$11,4,FALSE())</f>
        <v>178</v>
      </c>
      <c r="G218" s="14" t="n">
        <f aca="false">D218-F218</f>
        <v>56.24</v>
      </c>
    </row>
    <row r="219" customFormat="false" ht="15" hidden="false" customHeight="false" outlineLevel="0" collapsed="false">
      <c r="A219" s="12" t="n">
        <f aca="false">Claims_Data!A219</f>
        <v>100218</v>
      </c>
      <c r="B219" s="12" t="str">
        <f aca="false">Claims_Data!E219</f>
        <v>99214</v>
      </c>
      <c r="C219" s="12" t="str">
        <f aca="false">Claims_Data!D219</f>
        <v>Commercial - Blue Shield</v>
      </c>
      <c r="D219" s="13" t="n">
        <f aca="false">Claims_Data!H219</f>
        <v>164.65</v>
      </c>
      <c r="E219" s="7" t="str">
        <f aca="false">VLOOKUP(B219,Reimbursement_Rates!$A$2:$G$11,2,FALSE())</f>
        <v>Office visit, established patient, moderate complexity</v>
      </c>
      <c r="F219" s="14" t="n">
        <f aca="false">VLOOKUP(B219,Reimbursement_Rates!$A$2:$G$11,4,FALSE())</f>
        <v>128</v>
      </c>
      <c r="G219" s="14" t="n">
        <f aca="false">D219-F219</f>
        <v>36.65</v>
      </c>
    </row>
    <row r="220" customFormat="false" ht="15" hidden="false" customHeight="false" outlineLevel="0" collapsed="false">
      <c r="A220" s="12" t="n">
        <f aca="false">Claims_Data!A220</f>
        <v>100219</v>
      </c>
      <c r="B220" s="12" t="str">
        <f aca="false">Claims_Data!E220</f>
        <v>90935</v>
      </c>
      <c r="C220" s="12" t="str">
        <f aca="false">Claims_Data!D220</f>
        <v>Kaiser HMO</v>
      </c>
      <c r="D220" s="13" t="n">
        <f aca="false">Claims_Data!H220</f>
        <v>165.79</v>
      </c>
      <c r="E220" s="7" t="str">
        <f aca="false">VLOOKUP(B220,Reimbursement_Rates!$A$2:$G$11,2,FALSE())</f>
        <v>Hemodialysis, single evaluation</v>
      </c>
      <c r="F220" s="14" t="n">
        <f aca="false">VLOOKUP(B220,Reimbursement_Rates!$A$2:$G$11,4,FALSE())</f>
        <v>145</v>
      </c>
      <c r="G220" s="14" t="n">
        <f aca="false">D220-F220</f>
        <v>20.79</v>
      </c>
    </row>
    <row r="221" customFormat="false" ht="15" hidden="false" customHeight="false" outlineLevel="0" collapsed="false">
      <c r="A221" s="12" t="n">
        <f aca="false">Claims_Data!A221</f>
        <v>100220</v>
      </c>
      <c r="B221" s="12" t="str">
        <f aca="false">Claims_Data!E221</f>
        <v>99203</v>
      </c>
      <c r="C221" s="12" t="str">
        <f aca="false">Claims_Data!D221</f>
        <v>Kaiser HMO</v>
      </c>
      <c r="D221" s="13" t="n">
        <f aca="false">Claims_Data!H221</f>
        <v>117.1</v>
      </c>
      <c r="E221" s="7" t="str">
        <f aca="false">VLOOKUP(B221,Reimbursement_Rates!$A$2:$G$11,2,FALSE())</f>
        <v>Office visit, new patient, low complexity</v>
      </c>
      <c r="F221" s="14" t="n">
        <f aca="false">VLOOKUP(B221,Reimbursement_Rates!$A$2:$G$11,4,FALSE())</f>
        <v>112</v>
      </c>
      <c r="G221" s="14" t="n">
        <f aca="false">D221-F221</f>
        <v>5.09999999999999</v>
      </c>
    </row>
    <row r="224" customFormat="false" ht="45" hidden="false" customHeight="true" outlineLevel="0" collapsed="false">
      <c r="A224" s="15" t="s">
        <v>249</v>
      </c>
      <c r="B224" s="15"/>
      <c r="C224" s="15"/>
      <c r="D224" s="15"/>
      <c r="E224" s="15"/>
      <c r="F224" s="15"/>
      <c r="G224" s="15"/>
    </row>
  </sheetData>
  <mergeCells count="1">
    <mergeCell ref="A224:G2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6" t="s">
        <v>66</v>
      </c>
      <c r="B1" s="6" t="s">
        <v>30</v>
      </c>
      <c r="C1" s="6" t="s">
        <v>59</v>
      </c>
      <c r="D1" s="6" t="s">
        <v>72</v>
      </c>
      <c r="E1" s="6" t="s">
        <v>70</v>
      </c>
      <c r="F1" s="6" t="s">
        <v>71</v>
      </c>
      <c r="G1" s="6" t="s">
        <v>60</v>
      </c>
      <c r="H1" s="6" t="s">
        <v>250</v>
      </c>
      <c r="I1" s="6" t="s">
        <v>251</v>
      </c>
      <c r="J1" s="6" t="s">
        <v>252</v>
      </c>
    </row>
    <row r="2" customFormat="false" ht="15" hidden="false" customHeight="false" outlineLevel="0" collapsed="false">
      <c r="A2" s="12" t="n">
        <f aca="false">Claims_Data!A2</f>
        <v>100001</v>
      </c>
      <c r="B2" s="12" t="str">
        <f aca="false">Claims_Data!E2</f>
        <v>99204</v>
      </c>
      <c r="C2" s="12" t="str">
        <f aca="false">Claims_Data!D2</f>
        <v>Medicare</v>
      </c>
      <c r="D2" s="12" t="str">
        <f aca="false">Claims_Data!J2</f>
        <v>Paid</v>
      </c>
      <c r="E2" s="13" t="n">
        <f aca="false">Claims_Data!G2</f>
        <v>224.32</v>
      </c>
      <c r="F2" s="13" t="n">
        <f aca="false">Claims_Data!H2</f>
        <v>180.57</v>
      </c>
      <c r="G2" s="7" t="str">
        <f aca="false">VLOOKUP(C2,Reimbursement_Rates!$A$18:$B$22,2,FALSE())</f>
        <v>Medicare_Rate</v>
      </c>
      <c r="H2" s="14" t="n">
        <f aca="false">INDEX(Reimbursement_Rates!$A$1:$G$11,MATCH(B2,Reimbursement_Rates!$A$1:$A$11,0),MATCH(G2,Reimbursement_Rates!$A$1:$G$1,0))</f>
        <v>178</v>
      </c>
      <c r="I2" s="14" t="n">
        <f aca="false">F2-H2</f>
        <v>2.56999999999999</v>
      </c>
      <c r="J2" s="16" t="n">
        <f aca="false">IFERROR(I2/H2,0)</f>
        <v>0.014438202247191</v>
      </c>
    </row>
    <row r="3" customFormat="false" ht="15" hidden="false" customHeight="false" outlineLevel="0" collapsed="false">
      <c r="A3" s="12" t="n">
        <f aca="false">Claims_Data!A3</f>
        <v>100002</v>
      </c>
      <c r="B3" s="12" t="str">
        <f aca="false">Claims_Data!E3</f>
        <v>99213</v>
      </c>
      <c r="C3" s="12" t="str">
        <f aca="false">Claims_Data!D3</f>
        <v>Medicare</v>
      </c>
      <c r="D3" s="12" t="str">
        <f aca="false">Claims_Data!J3</f>
        <v>Paid</v>
      </c>
      <c r="E3" s="13" t="n">
        <f aca="false">Claims_Data!G3</f>
        <v>109.68</v>
      </c>
      <c r="F3" s="13" t="n">
        <f aca="false">Claims_Data!H3</f>
        <v>92.34</v>
      </c>
      <c r="G3" s="7" t="str">
        <f aca="false">VLOOKUP(C3,Reimbursement_Rates!$A$18:$B$22,2,FALSE())</f>
        <v>Medicare_Rate</v>
      </c>
      <c r="H3" s="14" t="n">
        <f aca="false">INDEX(Reimbursement_Rates!$A$1:$G$11,MATCH(B3,Reimbursement_Rates!$A$1:$A$11,0),MATCH(G3,Reimbursement_Rates!$A$1:$G$1,0))</f>
        <v>92</v>
      </c>
      <c r="I3" s="14" t="n">
        <f aca="false">F3-H3</f>
        <v>0.340000000000003</v>
      </c>
      <c r="J3" s="16" t="n">
        <f aca="false">IFERROR(I3/H3,0)</f>
        <v>0.00369565217391308</v>
      </c>
    </row>
    <row r="4" customFormat="false" ht="15" hidden="false" customHeight="false" outlineLevel="0" collapsed="false">
      <c r="A4" s="12" t="n">
        <f aca="false">Claims_Data!A4</f>
        <v>100003</v>
      </c>
      <c r="B4" s="12" t="str">
        <f aca="false">Claims_Data!E4</f>
        <v>71046</v>
      </c>
      <c r="C4" s="12" t="str">
        <f aca="false">Claims_Data!D4</f>
        <v>Commercial - Blue Shield</v>
      </c>
      <c r="D4" s="12" t="str">
        <f aca="false">Claims_Data!J4</f>
        <v>Paid</v>
      </c>
      <c r="E4" s="13" t="n">
        <f aca="false">Claims_Data!G4</f>
        <v>79.06</v>
      </c>
      <c r="F4" s="13" t="n">
        <f aca="false">Claims_Data!H4</f>
        <v>45.38</v>
      </c>
      <c r="G4" s="7" t="str">
        <f aca="false">VLOOKUP(C4,Reimbursement_Rates!$A$18:$B$22,2,FALSE())</f>
        <v>Commercial_Rate</v>
      </c>
      <c r="H4" s="14" t="n">
        <f aca="false">INDEX(Reimbursement_Rates!$A$1:$G$11,MATCH(B4,Reimbursement_Rates!$A$1:$A$11,0),MATCH(G4,Reimbursement_Rates!$A$1:$G$1,0))</f>
        <v>62</v>
      </c>
      <c r="I4" s="14" t="n">
        <f aca="false">F4-H4</f>
        <v>-16.62</v>
      </c>
      <c r="J4" s="16" t="n">
        <f aca="false">IFERROR(I4/H4,0)</f>
        <v>-0.268064516129032</v>
      </c>
    </row>
    <row r="5" customFormat="false" ht="15" hidden="false" customHeight="false" outlineLevel="0" collapsed="false">
      <c r="A5" s="12" t="n">
        <f aca="false">Claims_Data!A5</f>
        <v>100004</v>
      </c>
      <c r="B5" s="12" t="str">
        <f aca="false">Claims_Data!E5</f>
        <v>99215</v>
      </c>
      <c r="C5" s="12" t="str">
        <f aca="false">Claims_Data!D5</f>
        <v>Kaiser HMO</v>
      </c>
      <c r="D5" s="12" t="str">
        <f aca="false">Claims_Data!J5</f>
        <v>Paid</v>
      </c>
      <c r="E5" s="13" t="n">
        <f aca="false">Claims_Data!G5</f>
        <v>244.39</v>
      </c>
      <c r="F5" s="13" t="n">
        <f aca="false">Claims_Data!H5</f>
        <v>194.59</v>
      </c>
      <c r="G5" s="7" t="str">
        <f aca="false">VLOOKUP(C5,Reimbursement_Rates!$A$18:$B$22,2,FALSE())</f>
        <v>Kaiser_HMO_Rate</v>
      </c>
      <c r="H5" s="14" t="n">
        <f aca="false">INDEX(Reimbursement_Rates!$A$1:$G$11,MATCH(B5,Reimbursement_Rates!$A$1:$A$11,0),MATCH(G5,Reimbursement_Rates!$A$1:$G$1,0))</f>
        <v>196</v>
      </c>
      <c r="I5" s="14" t="n">
        <f aca="false">F5-H5</f>
        <v>-1.41</v>
      </c>
      <c r="J5" s="16" t="n">
        <f aca="false">IFERROR(I5/H5,0)</f>
        <v>-0.00719387755102039</v>
      </c>
    </row>
    <row r="6" customFormat="false" ht="15" hidden="false" customHeight="false" outlineLevel="0" collapsed="false">
      <c r="A6" s="12" t="n">
        <f aca="false">Claims_Data!A6</f>
        <v>100005</v>
      </c>
      <c r="B6" s="12" t="str">
        <f aca="false">Claims_Data!E6</f>
        <v>99204</v>
      </c>
      <c r="C6" s="12" t="str">
        <f aca="false">Claims_Data!D6</f>
        <v>Commercial - Aetna</v>
      </c>
      <c r="D6" s="12" t="str">
        <f aca="false">Claims_Data!J6</f>
        <v>Paid</v>
      </c>
      <c r="E6" s="13" t="n">
        <f aca="false">Claims_Data!G6</f>
        <v>348.04</v>
      </c>
      <c r="F6" s="13" t="n">
        <f aca="false">Claims_Data!H6</f>
        <v>236.53</v>
      </c>
      <c r="G6" s="7" t="str">
        <f aca="false">VLOOKUP(C6,Reimbursement_Rates!$A$18:$B$22,2,FALSE())</f>
        <v>Commercial_Rate</v>
      </c>
      <c r="H6" s="14" t="n">
        <f aca="false">INDEX(Reimbursement_Rates!$A$1:$G$11,MATCH(B6,Reimbursement_Rates!$A$1:$A$11,0),MATCH(G6,Reimbursement_Rates!$A$1:$G$1,0))</f>
        <v>230</v>
      </c>
      <c r="I6" s="14" t="n">
        <f aca="false">F6-H6</f>
        <v>6.53</v>
      </c>
      <c r="J6" s="16" t="n">
        <f aca="false">IFERROR(I6/H6,0)</f>
        <v>0.0283913043478261</v>
      </c>
    </row>
    <row r="7" customFormat="false" ht="15" hidden="false" customHeight="false" outlineLevel="0" collapsed="false">
      <c r="A7" s="12" t="n">
        <f aca="false">Claims_Data!A7</f>
        <v>100006</v>
      </c>
      <c r="B7" s="12" t="str">
        <f aca="false">Claims_Data!E7</f>
        <v>99204</v>
      </c>
      <c r="C7" s="12" t="str">
        <f aca="false">Claims_Data!D7</f>
        <v>Commercial - Aetna</v>
      </c>
      <c r="D7" s="12" t="str">
        <f aca="false">Claims_Data!J7</f>
        <v>Paid</v>
      </c>
      <c r="E7" s="13" t="n">
        <f aca="false">Claims_Data!G7</f>
        <v>350.34</v>
      </c>
      <c r="F7" s="13" t="n">
        <f aca="false">Claims_Data!H7</f>
        <v>261.42</v>
      </c>
      <c r="G7" s="7" t="str">
        <f aca="false">VLOOKUP(C7,Reimbursement_Rates!$A$18:$B$22,2,FALSE())</f>
        <v>Commercial_Rate</v>
      </c>
      <c r="H7" s="14" t="n">
        <f aca="false">INDEX(Reimbursement_Rates!$A$1:$G$11,MATCH(B7,Reimbursement_Rates!$A$1:$A$11,0),MATCH(G7,Reimbursement_Rates!$A$1:$G$1,0))</f>
        <v>230</v>
      </c>
      <c r="I7" s="14" t="n">
        <f aca="false">F7-H7</f>
        <v>31.42</v>
      </c>
      <c r="J7" s="16" t="n">
        <f aca="false">IFERROR(I7/H7,0)</f>
        <v>0.136608695652174</v>
      </c>
    </row>
    <row r="8" customFormat="false" ht="15" hidden="false" customHeight="false" outlineLevel="0" collapsed="false">
      <c r="A8" s="12" t="n">
        <f aca="false">Claims_Data!A8</f>
        <v>100007</v>
      </c>
      <c r="B8" s="12" t="str">
        <f aca="false">Claims_Data!E8</f>
        <v>99204</v>
      </c>
      <c r="C8" s="12" t="str">
        <f aca="false">Claims_Data!D8</f>
        <v>Medicaid</v>
      </c>
      <c r="D8" s="12" t="str">
        <f aca="false">Claims_Data!J8</f>
        <v>Paid</v>
      </c>
      <c r="E8" s="13" t="n">
        <f aca="false">Claims_Data!G8</f>
        <v>188.02</v>
      </c>
      <c r="F8" s="13" t="n">
        <f aca="false">Claims_Data!H8</f>
        <v>130.63</v>
      </c>
      <c r="G8" s="7" t="str">
        <f aca="false">VLOOKUP(C8,Reimbursement_Rates!$A$18:$B$22,2,FALSE())</f>
        <v>Medicaid_Rate</v>
      </c>
      <c r="H8" s="14" t="n">
        <f aca="false">INDEX(Reimbursement_Rates!$A$1:$G$11,MATCH(B8,Reimbursement_Rates!$A$1:$A$11,0),MATCH(G8,Reimbursement_Rates!$A$1:$G$1,0))</f>
        <v>118</v>
      </c>
      <c r="I8" s="14" t="n">
        <f aca="false">F8-H8</f>
        <v>12.63</v>
      </c>
      <c r="J8" s="16" t="n">
        <f aca="false">IFERROR(I8/H8,0)</f>
        <v>0.107033898305085</v>
      </c>
    </row>
    <row r="9" customFormat="false" ht="15" hidden="false" customHeight="false" outlineLevel="0" collapsed="false">
      <c r="A9" s="12" t="n">
        <f aca="false">Claims_Data!A9</f>
        <v>100008</v>
      </c>
      <c r="B9" s="12" t="str">
        <f aca="false">Claims_Data!E9</f>
        <v>90935</v>
      </c>
      <c r="C9" s="12" t="str">
        <f aca="false">Claims_Data!D9</f>
        <v>Medicaid</v>
      </c>
      <c r="D9" s="12" t="str">
        <f aca="false">Claims_Data!J9</f>
        <v>Paid</v>
      </c>
      <c r="E9" s="13" t="n">
        <f aca="false">Claims_Data!G9</f>
        <v>125.75</v>
      </c>
      <c r="F9" s="13" t="n">
        <f aca="false">Claims_Data!H9</f>
        <v>80.32</v>
      </c>
      <c r="G9" s="7" t="str">
        <f aca="false">VLOOKUP(C9,Reimbursement_Rates!$A$18:$B$22,2,FALSE())</f>
        <v>Medicaid_Rate</v>
      </c>
      <c r="H9" s="14" t="n">
        <f aca="false">INDEX(Reimbursement_Rates!$A$1:$G$11,MATCH(B9,Reimbursement_Rates!$A$1:$A$11,0),MATCH(G9,Reimbursement_Rates!$A$1:$G$1,0))</f>
        <v>96</v>
      </c>
      <c r="I9" s="14" t="n">
        <f aca="false">F9-H9</f>
        <v>-15.68</v>
      </c>
      <c r="J9" s="16" t="n">
        <f aca="false">IFERROR(I9/H9,0)</f>
        <v>-0.163333333333333</v>
      </c>
    </row>
    <row r="10" customFormat="false" ht="15" hidden="false" customHeight="false" outlineLevel="0" collapsed="false">
      <c r="A10" s="12" t="n">
        <f aca="false">Claims_Data!A10</f>
        <v>100009</v>
      </c>
      <c r="B10" s="12" t="str">
        <f aca="false">Claims_Data!E10</f>
        <v>99203</v>
      </c>
      <c r="C10" s="12" t="str">
        <f aca="false">Claims_Data!D10</f>
        <v>Commercial - Aetna</v>
      </c>
      <c r="D10" s="12" t="str">
        <f aca="false">Claims_Data!J10</f>
        <v>Paid</v>
      </c>
      <c r="E10" s="13" t="n">
        <f aca="false">Claims_Data!G10</f>
        <v>177.41</v>
      </c>
      <c r="F10" s="13" t="n">
        <f aca="false">Claims_Data!H10</f>
        <v>166.17</v>
      </c>
      <c r="G10" s="7" t="str">
        <f aca="false">VLOOKUP(C10,Reimbursement_Rates!$A$18:$B$22,2,FALSE())</f>
        <v>Commercial_Rate</v>
      </c>
      <c r="H10" s="14" t="n">
        <f aca="false">INDEX(Reimbursement_Rates!$A$1:$G$11,MATCH(B10,Reimbursement_Rates!$A$1:$A$11,0),MATCH(G10,Reimbursement_Rates!$A$1:$G$1,0))</f>
        <v>145</v>
      </c>
      <c r="I10" s="14" t="n">
        <f aca="false">F10-H10</f>
        <v>21.17</v>
      </c>
      <c r="J10" s="16" t="n">
        <f aca="false">IFERROR(I10/H10,0)</f>
        <v>0.146</v>
      </c>
    </row>
    <row r="11" customFormat="false" ht="15" hidden="false" customHeight="false" outlineLevel="0" collapsed="false">
      <c r="A11" s="12" t="n">
        <f aca="false">Claims_Data!A11</f>
        <v>100010</v>
      </c>
      <c r="B11" s="12" t="str">
        <f aca="false">Claims_Data!E11</f>
        <v>99203</v>
      </c>
      <c r="C11" s="12" t="str">
        <f aca="false">Claims_Data!D11</f>
        <v>Medicare</v>
      </c>
      <c r="D11" s="12" t="str">
        <f aca="false">Claims_Data!J11</f>
        <v>Paid</v>
      </c>
      <c r="E11" s="13" t="n">
        <f aca="false">Claims_Data!G11</f>
        <v>170.22</v>
      </c>
      <c r="F11" s="13" t="n">
        <f aca="false">Claims_Data!H11</f>
        <v>109.08</v>
      </c>
      <c r="G11" s="7" t="str">
        <f aca="false">VLOOKUP(C11,Reimbursement_Rates!$A$18:$B$22,2,FALSE())</f>
        <v>Medicare_Rate</v>
      </c>
      <c r="H11" s="14" t="n">
        <f aca="false">INDEX(Reimbursement_Rates!$A$1:$G$11,MATCH(B11,Reimbursement_Rates!$A$1:$A$11,0),MATCH(G11,Reimbursement_Rates!$A$1:$G$1,0))</f>
        <v>112</v>
      </c>
      <c r="I11" s="14" t="n">
        <f aca="false">F11-H11</f>
        <v>-2.92</v>
      </c>
      <c r="J11" s="16" t="n">
        <f aca="false">IFERROR(I11/H11,0)</f>
        <v>-0.0260714285714286</v>
      </c>
    </row>
    <row r="12" customFormat="false" ht="15" hidden="false" customHeight="false" outlineLevel="0" collapsed="false">
      <c r="A12" s="12" t="n">
        <f aca="false">Claims_Data!A12</f>
        <v>100011</v>
      </c>
      <c r="B12" s="12" t="str">
        <f aca="false">Claims_Data!E12</f>
        <v>36415</v>
      </c>
      <c r="C12" s="12" t="str">
        <f aca="false">Claims_Data!D12</f>
        <v>Commercial - Blue Shield</v>
      </c>
      <c r="D12" s="12" t="str">
        <f aca="false">Claims_Data!J12</f>
        <v>Paid</v>
      </c>
      <c r="E12" s="13" t="n">
        <f aca="false">Claims_Data!G12</f>
        <v>24.77</v>
      </c>
      <c r="F12" s="13" t="n">
        <f aca="false">Claims_Data!H12</f>
        <v>15.65</v>
      </c>
      <c r="G12" s="7" t="str">
        <f aca="false">VLOOKUP(C12,Reimbursement_Rates!$A$18:$B$22,2,FALSE())</f>
        <v>Commercial_Rate</v>
      </c>
      <c r="H12" s="14" t="n">
        <f aca="false">INDEX(Reimbursement_Rates!$A$1:$G$11,MATCH(B12,Reimbursement_Rates!$A$1:$A$11,0),MATCH(G12,Reimbursement_Rates!$A$1:$G$1,0))</f>
        <v>16</v>
      </c>
      <c r="I12" s="14" t="n">
        <f aca="false">F12-H12</f>
        <v>-0.35</v>
      </c>
      <c r="J12" s="16" t="n">
        <f aca="false">IFERROR(I12/H12,0)</f>
        <v>-0.021875</v>
      </c>
    </row>
    <row r="13" customFormat="false" ht="15" hidden="false" customHeight="false" outlineLevel="0" collapsed="false">
      <c r="A13" s="12" t="n">
        <f aca="false">Claims_Data!A13</f>
        <v>100012</v>
      </c>
      <c r="B13" s="12" t="str">
        <f aca="false">Claims_Data!E13</f>
        <v>36415</v>
      </c>
      <c r="C13" s="12" t="str">
        <f aca="false">Claims_Data!D13</f>
        <v>Commercial - Aetna</v>
      </c>
      <c r="D13" s="12" t="str">
        <f aca="false">Claims_Data!J13</f>
        <v>Pending</v>
      </c>
      <c r="E13" s="13" t="n">
        <f aca="false">Claims_Data!G13</f>
        <v>21.01</v>
      </c>
      <c r="F13" s="13" t="n">
        <f aca="false">Claims_Data!H13</f>
        <v>0</v>
      </c>
      <c r="G13" s="7" t="str">
        <f aca="false">VLOOKUP(C13,Reimbursement_Rates!$A$18:$B$22,2,FALSE())</f>
        <v>Commercial_Rate</v>
      </c>
      <c r="H13" s="14" t="n">
        <f aca="false">INDEX(Reimbursement_Rates!$A$1:$G$11,MATCH(B13,Reimbursement_Rates!$A$1:$A$11,0),MATCH(G13,Reimbursement_Rates!$A$1:$G$1,0))</f>
        <v>16</v>
      </c>
      <c r="I13" s="14" t="n">
        <f aca="false">F13-H13</f>
        <v>-16</v>
      </c>
      <c r="J13" s="16" t="n">
        <f aca="false">IFERROR(I13/H13,0)</f>
        <v>-1</v>
      </c>
    </row>
    <row r="14" customFormat="false" ht="15" hidden="false" customHeight="false" outlineLevel="0" collapsed="false">
      <c r="A14" s="12" t="n">
        <f aca="false">Claims_Data!A14</f>
        <v>100013</v>
      </c>
      <c r="B14" s="12" t="str">
        <f aca="false">Claims_Data!E14</f>
        <v>99213</v>
      </c>
      <c r="C14" s="12" t="str">
        <f aca="false">Claims_Data!D14</f>
        <v>Medicare</v>
      </c>
      <c r="D14" s="12" t="str">
        <f aca="false">Claims_Data!J14</f>
        <v>Paid</v>
      </c>
      <c r="E14" s="13" t="n">
        <f aca="false">Claims_Data!G14</f>
        <v>141.45</v>
      </c>
      <c r="F14" s="13" t="n">
        <f aca="false">Claims_Data!H14</f>
        <v>93</v>
      </c>
      <c r="G14" s="7" t="str">
        <f aca="false">VLOOKUP(C14,Reimbursement_Rates!$A$18:$B$22,2,FALSE())</f>
        <v>Medicare_Rate</v>
      </c>
      <c r="H14" s="14" t="n">
        <f aca="false">INDEX(Reimbursement_Rates!$A$1:$G$11,MATCH(B14,Reimbursement_Rates!$A$1:$A$11,0),MATCH(G14,Reimbursement_Rates!$A$1:$G$1,0))</f>
        <v>92</v>
      </c>
      <c r="I14" s="14" t="n">
        <f aca="false">F14-H14</f>
        <v>1</v>
      </c>
      <c r="J14" s="16" t="n">
        <f aca="false">IFERROR(I14/H14,0)</f>
        <v>0.0108695652173913</v>
      </c>
    </row>
    <row r="15" customFormat="false" ht="15" hidden="false" customHeight="false" outlineLevel="0" collapsed="false">
      <c r="A15" s="12" t="n">
        <f aca="false">Claims_Data!A15</f>
        <v>100014</v>
      </c>
      <c r="B15" s="12" t="str">
        <f aca="false">Claims_Data!E15</f>
        <v>71046</v>
      </c>
      <c r="C15" s="12" t="str">
        <f aca="false">Claims_Data!D15</f>
        <v>Commercial - Blue Shield</v>
      </c>
      <c r="D15" s="12" t="str">
        <f aca="false">Claims_Data!J15</f>
        <v>Paid</v>
      </c>
      <c r="E15" s="13" t="n">
        <f aca="false">Claims_Data!G15</f>
        <v>99.09</v>
      </c>
      <c r="F15" s="13" t="n">
        <f aca="false">Claims_Data!H15</f>
        <v>73.11</v>
      </c>
      <c r="G15" s="7" t="str">
        <f aca="false">VLOOKUP(C15,Reimbursement_Rates!$A$18:$B$22,2,FALSE())</f>
        <v>Commercial_Rate</v>
      </c>
      <c r="H15" s="14" t="n">
        <f aca="false">INDEX(Reimbursement_Rates!$A$1:$G$11,MATCH(B15,Reimbursement_Rates!$A$1:$A$11,0),MATCH(G15,Reimbursement_Rates!$A$1:$G$1,0))</f>
        <v>62</v>
      </c>
      <c r="I15" s="14" t="n">
        <f aca="false">F15-H15</f>
        <v>11.11</v>
      </c>
      <c r="J15" s="16" t="n">
        <f aca="false">IFERROR(I15/H15,0)</f>
        <v>0.179193548387097</v>
      </c>
    </row>
    <row r="16" customFormat="false" ht="15" hidden="false" customHeight="false" outlineLevel="0" collapsed="false">
      <c r="A16" s="12" t="n">
        <f aca="false">Claims_Data!A16</f>
        <v>100015</v>
      </c>
      <c r="B16" s="12" t="str">
        <f aca="false">Claims_Data!E16</f>
        <v>99204</v>
      </c>
      <c r="C16" s="12" t="str">
        <f aca="false">Claims_Data!D16</f>
        <v>Commercial - Aetna</v>
      </c>
      <c r="D16" s="12" t="str">
        <f aca="false">Claims_Data!J16</f>
        <v>Paid</v>
      </c>
      <c r="E16" s="13" t="n">
        <f aca="false">Claims_Data!G16</f>
        <v>344.05</v>
      </c>
      <c r="F16" s="13" t="n">
        <f aca="false">Claims_Data!H16</f>
        <v>225.28</v>
      </c>
      <c r="G16" s="7" t="str">
        <f aca="false">VLOOKUP(C16,Reimbursement_Rates!$A$18:$B$22,2,FALSE())</f>
        <v>Commercial_Rate</v>
      </c>
      <c r="H16" s="14" t="n">
        <f aca="false">INDEX(Reimbursement_Rates!$A$1:$G$11,MATCH(B16,Reimbursement_Rates!$A$1:$A$11,0),MATCH(G16,Reimbursement_Rates!$A$1:$G$1,0))</f>
        <v>230</v>
      </c>
      <c r="I16" s="14" t="n">
        <f aca="false">F16-H16</f>
        <v>-4.72</v>
      </c>
      <c r="J16" s="16" t="n">
        <f aca="false">IFERROR(I16/H16,0)</f>
        <v>-0.0205217391304348</v>
      </c>
    </row>
    <row r="17" customFormat="false" ht="15" hidden="false" customHeight="false" outlineLevel="0" collapsed="false">
      <c r="A17" s="12" t="n">
        <f aca="false">Claims_Data!A17</f>
        <v>100016</v>
      </c>
      <c r="B17" s="12" t="str">
        <f aca="false">Claims_Data!E17</f>
        <v>99215</v>
      </c>
      <c r="C17" s="12" t="str">
        <f aca="false">Claims_Data!D17</f>
        <v>Commercial - Aetna</v>
      </c>
      <c r="D17" s="12" t="str">
        <f aca="false">Claims_Data!J17</f>
        <v>Paid</v>
      </c>
      <c r="E17" s="13" t="n">
        <f aca="false">Claims_Data!G17</f>
        <v>325.32</v>
      </c>
      <c r="F17" s="13" t="n">
        <f aca="false">Claims_Data!H17</f>
        <v>240.84</v>
      </c>
      <c r="G17" s="7" t="str">
        <f aca="false">VLOOKUP(C17,Reimbursement_Rates!$A$18:$B$22,2,FALSE())</f>
        <v>Commercial_Rate</v>
      </c>
      <c r="H17" s="14" t="n">
        <f aca="false">INDEX(Reimbursement_Rates!$A$1:$G$11,MATCH(B17,Reimbursement_Rates!$A$1:$A$11,0),MATCH(G17,Reimbursement_Rates!$A$1:$G$1,0))</f>
        <v>236</v>
      </c>
      <c r="I17" s="14" t="n">
        <f aca="false">F17-H17</f>
        <v>4.84</v>
      </c>
      <c r="J17" s="16" t="n">
        <f aca="false">IFERROR(I17/H17,0)</f>
        <v>0.0205084745762712</v>
      </c>
    </row>
    <row r="18" customFormat="false" ht="15" hidden="false" customHeight="false" outlineLevel="0" collapsed="false">
      <c r="A18" s="12" t="n">
        <f aca="false">Claims_Data!A18</f>
        <v>100017</v>
      </c>
      <c r="B18" s="12" t="str">
        <f aca="false">Claims_Data!E18</f>
        <v>90935</v>
      </c>
      <c r="C18" s="12" t="str">
        <f aca="false">Claims_Data!D18</f>
        <v>Medicaid</v>
      </c>
      <c r="D18" s="12" t="str">
        <f aca="false">Claims_Data!J18</f>
        <v>Paid</v>
      </c>
      <c r="E18" s="13" t="n">
        <f aca="false">Claims_Data!G18</f>
        <v>143.34</v>
      </c>
      <c r="F18" s="13" t="n">
        <f aca="false">Claims_Data!H18</f>
        <v>77.38</v>
      </c>
      <c r="G18" s="7" t="str">
        <f aca="false">VLOOKUP(C18,Reimbursement_Rates!$A$18:$B$22,2,FALSE())</f>
        <v>Medicaid_Rate</v>
      </c>
      <c r="H18" s="14" t="n">
        <f aca="false">INDEX(Reimbursement_Rates!$A$1:$G$11,MATCH(B18,Reimbursement_Rates!$A$1:$A$11,0),MATCH(G18,Reimbursement_Rates!$A$1:$G$1,0))</f>
        <v>96</v>
      </c>
      <c r="I18" s="14" t="n">
        <f aca="false">F18-H18</f>
        <v>-18.62</v>
      </c>
      <c r="J18" s="16" t="n">
        <f aca="false">IFERROR(I18/H18,0)</f>
        <v>-0.193958333333333</v>
      </c>
    </row>
    <row r="19" customFormat="false" ht="15" hidden="false" customHeight="false" outlineLevel="0" collapsed="false">
      <c r="A19" s="12" t="n">
        <f aca="false">Claims_Data!A19</f>
        <v>100018</v>
      </c>
      <c r="B19" s="12" t="str">
        <f aca="false">Claims_Data!E19</f>
        <v>99213</v>
      </c>
      <c r="C19" s="12" t="str">
        <f aca="false">Claims_Data!D19</f>
        <v>Commercial - Blue Shield</v>
      </c>
      <c r="D19" s="12" t="str">
        <f aca="false">Claims_Data!J19</f>
        <v>Paid</v>
      </c>
      <c r="E19" s="13" t="n">
        <f aca="false">Claims_Data!G19</f>
        <v>141.64</v>
      </c>
      <c r="F19" s="13" t="n">
        <f aca="false">Claims_Data!H19</f>
        <v>138.18</v>
      </c>
      <c r="G19" s="7" t="str">
        <f aca="false">VLOOKUP(C19,Reimbursement_Rates!$A$18:$B$22,2,FALSE())</f>
        <v>Commercial_Rate</v>
      </c>
      <c r="H19" s="14" t="n">
        <f aca="false">INDEX(Reimbursement_Rates!$A$1:$G$11,MATCH(B19,Reimbursement_Rates!$A$1:$A$11,0),MATCH(G19,Reimbursement_Rates!$A$1:$G$1,0))</f>
        <v>118</v>
      </c>
      <c r="I19" s="14" t="n">
        <f aca="false">F19-H19</f>
        <v>20.18</v>
      </c>
      <c r="J19" s="16" t="n">
        <f aca="false">IFERROR(I19/H19,0)</f>
        <v>0.171016949152542</v>
      </c>
    </row>
    <row r="20" customFormat="false" ht="15" hidden="false" customHeight="false" outlineLevel="0" collapsed="false">
      <c r="A20" s="12" t="n">
        <f aca="false">Claims_Data!A20</f>
        <v>100019</v>
      </c>
      <c r="B20" s="12" t="str">
        <f aca="false">Claims_Data!E20</f>
        <v>71046</v>
      </c>
      <c r="C20" s="12" t="str">
        <f aca="false">Claims_Data!D20</f>
        <v>Medicaid</v>
      </c>
      <c r="D20" s="12" t="str">
        <f aca="false">Claims_Data!J20</f>
        <v>Paid</v>
      </c>
      <c r="E20" s="13" t="n">
        <f aca="false">Claims_Data!G20</f>
        <v>50.44</v>
      </c>
      <c r="F20" s="13" t="n">
        <f aca="false">Claims_Data!H20</f>
        <v>31.17</v>
      </c>
      <c r="G20" s="7" t="str">
        <f aca="false">VLOOKUP(C20,Reimbursement_Rates!$A$18:$B$22,2,FALSE())</f>
        <v>Medicaid_Rate</v>
      </c>
      <c r="H20" s="14" t="n">
        <f aca="false">INDEX(Reimbursement_Rates!$A$1:$G$11,MATCH(B20,Reimbursement_Rates!$A$1:$A$11,0),MATCH(G20,Reimbursement_Rates!$A$1:$G$1,0))</f>
        <v>32</v>
      </c>
      <c r="I20" s="14" t="n">
        <f aca="false">F20-H20</f>
        <v>-0.829999999999998</v>
      </c>
      <c r="J20" s="16" t="n">
        <f aca="false">IFERROR(I20/H20,0)</f>
        <v>-0.0259374999999999</v>
      </c>
    </row>
    <row r="21" customFormat="false" ht="15" hidden="false" customHeight="false" outlineLevel="0" collapsed="false">
      <c r="A21" s="12" t="n">
        <f aca="false">Claims_Data!A21</f>
        <v>100020</v>
      </c>
      <c r="B21" s="12" t="str">
        <f aca="false">Claims_Data!E21</f>
        <v>93000</v>
      </c>
      <c r="C21" s="12" t="str">
        <f aca="false">Claims_Data!D21</f>
        <v>Commercial - Blue Shield</v>
      </c>
      <c r="D21" s="12" t="str">
        <f aca="false">Claims_Data!J21</f>
        <v>Paid</v>
      </c>
      <c r="E21" s="13" t="n">
        <f aca="false">Claims_Data!G21</f>
        <v>53.87</v>
      </c>
      <c r="F21" s="13" t="n">
        <f aca="false">Claims_Data!H21</f>
        <v>45.23</v>
      </c>
      <c r="G21" s="7" t="str">
        <f aca="false">VLOOKUP(C21,Reimbursement_Rates!$A$18:$B$22,2,FALSE())</f>
        <v>Commercial_Rate</v>
      </c>
      <c r="H21" s="14" t="n">
        <f aca="false">INDEX(Reimbursement_Rates!$A$1:$G$11,MATCH(B21,Reimbursement_Rates!$A$1:$A$11,0),MATCH(G21,Reimbursement_Rates!$A$1:$G$1,0))</f>
        <v>44</v>
      </c>
      <c r="I21" s="14" t="n">
        <f aca="false">F21-H21</f>
        <v>1.23</v>
      </c>
      <c r="J21" s="16" t="n">
        <f aca="false">IFERROR(I21/H21,0)</f>
        <v>0.0279545454545454</v>
      </c>
    </row>
    <row r="22" customFormat="false" ht="15" hidden="false" customHeight="false" outlineLevel="0" collapsed="false">
      <c r="A22" s="12" t="n">
        <f aca="false">Claims_Data!A22</f>
        <v>100021</v>
      </c>
      <c r="B22" s="12" t="str">
        <f aca="false">Claims_Data!E22</f>
        <v>90935</v>
      </c>
      <c r="C22" s="12" t="str">
        <f aca="false">Claims_Data!D22</f>
        <v>Commercial - Blue Shield</v>
      </c>
      <c r="D22" s="12" t="str">
        <f aca="false">Claims_Data!J22</f>
        <v>Paid</v>
      </c>
      <c r="E22" s="13" t="n">
        <f aca="false">Claims_Data!G22</f>
        <v>251.92</v>
      </c>
      <c r="F22" s="13" t="n">
        <f aca="false">Claims_Data!H22</f>
        <v>183.91</v>
      </c>
      <c r="G22" s="7" t="str">
        <f aca="false">VLOOKUP(C22,Reimbursement_Rates!$A$18:$B$22,2,FALSE())</f>
        <v>Commercial_Rate</v>
      </c>
      <c r="H22" s="14" t="n">
        <f aca="false">INDEX(Reimbursement_Rates!$A$1:$G$11,MATCH(B22,Reimbursement_Rates!$A$1:$A$11,0),MATCH(G22,Reimbursement_Rates!$A$1:$G$1,0))</f>
        <v>187</v>
      </c>
      <c r="I22" s="14" t="n">
        <f aca="false">F22-H22</f>
        <v>-3.09</v>
      </c>
      <c r="J22" s="16" t="n">
        <f aca="false">IFERROR(I22/H22,0)</f>
        <v>-0.016524064171123</v>
      </c>
    </row>
    <row r="23" customFormat="false" ht="15" hidden="false" customHeight="false" outlineLevel="0" collapsed="false">
      <c r="A23" s="12" t="n">
        <f aca="false">Claims_Data!A23</f>
        <v>100022</v>
      </c>
      <c r="B23" s="12" t="str">
        <f aca="false">Claims_Data!E23</f>
        <v>93000</v>
      </c>
      <c r="C23" s="12" t="str">
        <f aca="false">Claims_Data!D23</f>
        <v>Commercial - Aetna</v>
      </c>
      <c r="D23" s="12" t="str">
        <f aca="false">Claims_Data!J23</f>
        <v>Paid</v>
      </c>
      <c r="E23" s="13" t="n">
        <f aca="false">Claims_Data!G23</f>
        <v>55.16</v>
      </c>
      <c r="F23" s="13" t="n">
        <f aca="false">Claims_Data!H23</f>
        <v>44.35</v>
      </c>
      <c r="G23" s="7" t="str">
        <f aca="false">VLOOKUP(C23,Reimbursement_Rates!$A$18:$B$22,2,FALSE())</f>
        <v>Commercial_Rate</v>
      </c>
      <c r="H23" s="14" t="n">
        <f aca="false">INDEX(Reimbursement_Rates!$A$1:$G$11,MATCH(B23,Reimbursement_Rates!$A$1:$A$11,0),MATCH(G23,Reimbursement_Rates!$A$1:$G$1,0))</f>
        <v>44</v>
      </c>
      <c r="I23" s="14" t="n">
        <f aca="false">F23-H23</f>
        <v>0.350000000000001</v>
      </c>
      <c r="J23" s="16" t="n">
        <f aca="false">IFERROR(I23/H23,0)</f>
        <v>0.00795454545454549</v>
      </c>
    </row>
    <row r="24" customFormat="false" ht="15" hidden="false" customHeight="false" outlineLevel="0" collapsed="false">
      <c r="A24" s="12" t="n">
        <f aca="false">Claims_Data!A24</f>
        <v>100023</v>
      </c>
      <c r="B24" s="12" t="str">
        <f aca="false">Claims_Data!E24</f>
        <v>90935</v>
      </c>
      <c r="C24" s="12" t="str">
        <f aca="false">Claims_Data!D24</f>
        <v>Medicare</v>
      </c>
      <c r="D24" s="12" t="str">
        <f aca="false">Claims_Data!J24</f>
        <v>Paid</v>
      </c>
      <c r="E24" s="13" t="n">
        <f aca="false">Claims_Data!G24</f>
        <v>171.37</v>
      </c>
      <c r="F24" s="13" t="n">
        <f aca="false">Claims_Data!H24</f>
        <v>107.71</v>
      </c>
      <c r="G24" s="7" t="str">
        <f aca="false">VLOOKUP(C24,Reimbursement_Rates!$A$18:$B$22,2,FALSE())</f>
        <v>Medicare_Rate</v>
      </c>
      <c r="H24" s="14" t="n">
        <f aca="false">INDEX(Reimbursement_Rates!$A$1:$G$11,MATCH(B24,Reimbursement_Rates!$A$1:$A$11,0),MATCH(G24,Reimbursement_Rates!$A$1:$G$1,0))</f>
        <v>145</v>
      </c>
      <c r="I24" s="14" t="n">
        <f aca="false">F24-H24</f>
        <v>-37.29</v>
      </c>
      <c r="J24" s="16" t="n">
        <f aca="false">IFERROR(I24/H24,0)</f>
        <v>-0.257172413793104</v>
      </c>
    </row>
    <row r="25" customFormat="false" ht="15" hidden="false" customHeight="false" outlineLevel="0" collapsed="false">
      <c r="A25" s="12" t="n">
        <f aca="false">Claims_Data!A25</f>
        <v>100024</v>
      </c>
      <c r="B25" s="12" t="str">
        <f aca="false">Claims_Data!E25</f>
        <v>80053</v>
      </c>
      <c r="C25" s="12" t="str">
        <f aca="false">Claims_Data!D25</f>
        <v>Medicaid</v>
      </c>
      <c r="D25" s="12" t="str">
        <f aca="false">Claims_Data!J25</f>
        <v>Paid</v>
      </c>
      <c r="E25" s="13" t="n">
        <f aca="false">Claims_Data!G25</f>
        <v>21.19</v>
      </c>
      <c r="F25" s="13" t="n">
        <f aca="false">Claims_Data!H25</f>
        <v>13.94</v>
      </c>
      <c r="G25" s="7" t="str">
        <f aca="false">VLOOKUP(C25,Reimbursement_Rates!$A$18:$B$22,2,FALSE())</f>
        <v>Medicaid_Rate</v>
      </c>
      <c r="H25" s="14" t="n">
        <f aca="false">INDEX(Reimbursement_Rates!$A$1:$G$11,MATCH(B25,Reimbursement_Rates!$A$1:$A$11,0),MATCH(G25,Reimbursement_Rates!$A$1:$G$1,0))</f>
        <v>14</v>
      </c>
      <c r="I25" s="14" t="n">
        <f aca="false">F25-H25</f>
        <v>-0.0600000000000005</v>
      </c>
      <c r="J25" s="16" t="n">
        <f aca="false">IFERROR(I25/H25,0)</f>
        <v>-0.00428571428571432</v>
      </c>
    </row>
    <row r="26" customFormat="false" ht="15" hidden="false" customHeight="false" outlineLevel="0" collapsed="false">
      <c r="A26" s="12" t="n">
        <f aca="false">Claims_Data!A26</f>
        <v>100025</v>
      </c>
      <c r="B26" s="12" t="str">
        <f aca="false">Claims_Data!E26</f>
        <v>99213</v>
      </c>
      <c r="C26" s="12" t="str">
        <f aca="false">Claims_Data!D26</f>
        <v>Commercial - Blue Shield</v>
      </c>
      <c r="D26" s="12" t="str">
        <f aca="false">Claims_Data!J26</f>
        <v>Pending</v>
      </c>
      <c r="E26" s="13" t="n">
        <f aca="false">Claims_Data!G26</f>
        <v>171.46</v>
      </c>
      <c r="F26" s="13" t="n">
        <f aca="false">Claims_Data!H26</f>
        <v>0</v>
      </c>
      <c r="G26" s="7" t="str">
        <f aca="false">VLOOKUP(C26,Reimbursement_Rates!$A$18:$B$22,2,FALSE())</f>
        <v>Commercial_Rate</v>
      </c>
      <c r="H26" s="14" t="n">
        <f aca="false">INDEX(Reimbursement_Rates!$A$1:$G$11,MATCH(B26,Reimbursement_Rates!$A$1:$A$11,0),MATCH(G26,Reimbursement_Rates!$A$1:$G$1,0))</f>
        <v>118</v>
      </c>
      <c r="I26" s="14" t="n">
        <f aca="false">F26-H26</f>
        <v>-118</v>
      </c>
      <c r="J26" s="16" t="n">
        <f aca="false">IFERROR(I26/H26,0)</f>
        <v>-1</v>
      </c>
    </row>
    <row r="27" customFormat="false" ht="15" hidden="false" customHeight="false" outlineLevel="0" collapsed="false">
      <c r="A27" s="12" t="n">
        <f aca="false">Claims_Data!A27</f>
        <v>100026</v>
      </c>
      <c r="B27" s="12" t="str">
        <f aca="false">Claims_Data!E27</f>
        <v>90935</v>
      </c>
      <c r="C27" s="12" t="str">
        <f aca="false">Claims_Data!D27</f>
        <v>Commercial - Blue Shield</v>
      </c>
      <c r="D27" s="12" t="str">
        <f aca="false">Claims_Data!J27</f>
        <v>Paid</v>
      </c>
      <c r="E27" s="13" t="n">
        <f aca="false">Claims_Data!G27</f>
        <v>282.42</v>
      </c>
      <c r="F27" s="13" t="n">
        <f aca="false">Claims_Data!H27</f>
        <v>187.41</v>
      </c>
      <c r="G27" s="7" t="str">
        <f aca="false">VLOOKUP(C27,Reimbursement_Rates!$A$18:$B$22,2,FALSE())</f>
        <v>Commercial_Rate</v>
      </c>
      <c r="H27" s="14" t="n">
        <f aca="false">INDEX(Reimbursement_Rates!$A$1:$G$11,MATCH(B27,Reimbursement_Rates!$A$1:$A$11,0),MATCH(G27,Reimbursement_Rates!$A$1:$G$1,0))</f>
        <v>187</v>
      </c>
      <c r="I27" s="14" t="n">
        <f aca="false">F27-H27</f>
        <v>0.409999999999997</v>
      </c>
      <c r="J27" s="16" t="n">
        <f aca="false">IFERROR(I27/H27,0)</f>
        <v>0.00219251336898394</v>
      </c>
    </row>
    <row r="28" customFormat="false" ht="15" hidden="false" customHeight="false" outlineLevel="0" collapsed="false">
      <c r="A28" s="12" t="n">
        <f aca="false">Claims_Data!A28</f>
        <v>100027</v>
      </c>
      <c r="B28" s="12" t="str">
        <f aca="false">Claims_Data!E28</f>
        <v>99204</v>
      </c>
      <c r="C28" s="12" t="str">
        <f aca="false">Claims_Data!D28</f>
        <v>Medicaid</v>
      </c>
      <c r="D28" s="12" t="str">
        <f aca="false">Claims_Data!J28</f>
        <v>Paid</v>
      </c>
      <c r="E28" s="13" t="n">
        <f aca="false">Claims_Data!G28</f>
        <v>160.27</v>
      </c>
      <c r="F28" s="13" t="n">
        <f aca="false">Claims_Data!H28</f>
        <v>120.18</v>
      </c>
      <c r="G28" s="7" t="str">
        <f aca="false">VLOOKUP(C28,Reimbursement_Rates!$A$18:$B$22,2,FALSE())</f>
        <v>Medicaid_Rate</v>
      </c>
      <c r="H28" s="14" t="n">
        <f aca="false">INDEX(Reimbursement_Rates!$A$1:$G$11,MATCH(B28,Reimbursement_Rates!$A$1:$A$11,0),MATCH(G28,Reimbursement_Rates!$A$1:$G$1,0))</f>
        <v>118</v>
      </c>
      <c r="I28" s="14" t="n">
        <f aca="false">F28-H28</f>
        <v>2.18000000000001</v>
      </c>
      <c r="J28" s="16" t="n">
        <f aca="false">IFERROR(I28/H28,0)</f>
        <v>0.0184745762711865</v>
      </c>
    </row>
    <row r="29" customFormat="false" ht="15" hidden="false" customHeight="false" outlineLevel="0" collapsed="false">
      <c r="A29" s="12" t="n">
        <f aca="false">Claims_Data!A29</f>
        <v>100028</v>
      </c>
      <c r="B29" s="12" t="str">
        <f aca="false">Claims_Data!E29</f>
        <v>99213</v>
      </c>
      <c r="C29" s="12" t="str">
        <f aca="false">Claims_Data!D29</f>
        <v>Commercial - Aetna</v>
      </c>
      <c r="D29" s="12" t="str">
        <f aca="false">Claims_Data!J29</f>
        <v>Denied</v>
      </c>
      <c r="E29" s="13" t="n">
        <f aca="false">Claims_Data!G29</f>
        <v>187.15</v>
      </c>
      <c r="F29" s="13" t="n">
        <f aca="false">Claims_Data!H29</f>
        <v>0</v>
      </c>
      <c r="G29" s="7" t="str">
        <f aca="false">VLOOKUP(C29,Reimbursement_Rates!$A$18:$B$22,2,FALSE())</f>
        <v>Commercial_Rate</v>
      </c>
      <c r="H29" s="14" t="n">
        <f aca="false">INDEX(Reimbursement_Rates!$A$1:$G$11,MATCH(B29,Reimbursement_Rates!$A$1:$A$11,0),MATCH(G29,Reimbursement_Rates!$A$1:$G$1,0))</f>
        <v>118</v>
      </c>
      <c r="I29" s="14" t="n">
        <f aca="false">F29-H29</f>
        <v>-118</v>
      </c>
      <c r="J29" s="16" t="n">
        <f aca="false">IFERROR(I29/H29,0)</f>
        <v>-1</v>
      </c>
    </row>
    <row r="30" customFormat="false" ht="15" hidden="false" customHeight="false" outlineLevel="0" collapsed="false">
      <c r="A30" s="12" t="n">
        <f aca="false">Claims_Data!A30</f>
        <v>100029</v>
      </c>
      <c r="B30" s="12" t="str">
        <f aca="false">Claims_Data!E30</f>
        <v>80053</v>
      </c>
      <c r="C30" s="12" t="str">
        <f aca="false">Claims_Data!D30</f>
        <v>Commercial - Blue Shield</v>
      </c>
      <c r="D30" s="12" t="str">
        <f aca="false">Claims_Data!J30</f>
        <v>Paid</v>
      </c>
      <c r="E30" s="13" t="n">
        <f aca="false">Claims_Data!G30</f>
        <v>33.65</v>
      </c>
      <c r="F30" s="13" t="n">
        <f aca="false">Claims_Data!H30</f>
        <v>26.8</v>
      </c>
      <c r="G30" s="7" t="str">
        <f aca="false">VLOOKUP(C30,Reimbursement_Rates!$A$18:$B$22,2,FALSE())</f>
        <v>Commercial_Rate</v>
      </c>
      <c r="H30" s="14" t="n">
        <f aca="false">INDEX(Reimbursement_Rates!$A$1:$G$11,MATCH(B30,Reimbursement_Rates!$A$1:$A$11,0),MATCH(G30,Reimbursement_Rates!$A$1:$G$1,0))</f>
        <v>27</v>
      </c>
      <c r="I30" s="14" t="n">
        <f aca="false">F30-H30</f>
        <v>-0.199999999999999</v>
      </c>
      <c r="J30" s="16" t="n">
        <f aca="false">IFERROR(I30/H30,0)</f>
        <v>-0.00740740740740738</v>
      </c>
    </row>
    <row r="31" customFormat="false" ht="15" hidden="false" customHeight="false" outlineLevel="0" collapsed="false">
      <c r="A31" s="12" t="n">
        <f aca="false">Claims_Data!A31</f>
        <v>100030</v>
      </c>
      <c r="B31" s="12" t="str">
        <f aca="false">Claims_Data!E31</f>
        <v>99204</v>
      </c>
      <c r="C31" s="12" t="str">
        <f aca="false">Claims_Data!D31</f>
        <v>Commercial - Blue Shield</v>
      </c>
      <c r="D31" s="12" t="str">
        <f aca="false">Claims_Data!J31</f>
        <v>Denied</v>
      </c>
      <c r="E31" s="13" t="n">
        <f aca="false">Claims_Data!G31</f>
        <v>308.28</v>
      </c>
      <c r="F31" s="13" t="n">
        <f aca="false">Claims_Data!H31</f>
        <v>0</v>
      </c>
      <c r="G31" s="7" t="str">
        <f aca="false">VLOOKUP(C31,Reimbursement_Rates!$A$18:$B$22,2,FALSE())</f>
        <v>Commercial_Rate</v>
      </c>
      <c r="H31" s="14" t="n">
        <f aca="false">INDEX(Reimbursement_Rates!$A$1:$G$11,MATCH(B31,Reimbursement_Rates!$A$1:$A$11,0),MATCH(G31,Reimbursement_Rates!$A$1:$G$1,0))</f>
        <v>230</v>
      </c>
      <c r="I31" s="14" t="n">
        <f aca="false">F31-H31</f>
        <v>-230</v>
      </c>
      <c r="J31" s="16" t="n">
        <f aca="false">IFERROR(I31/H31,0)</f>
        <v>-1</v>
      </c>
    </row>
    <row r="32" customFormat="false" ht="15" hidden="false" customHeight="false" outlineLevel="0" collapsed="false">
      <c r="A32" s="12" t="n">
        <f aca="false">Claims_Data!A32</f>
        <v>100031</v>
      </c>
      <c r="B32" s="12" t="str">
        <f aca="false">Claims_Data!E32</f>
        <v>99204</v>
      </c>
      <c r="C32" s="12" t="str">
        <f aca="false">Claims_Data!D32</f>
        <v>Medicaid</v>
      </c>
      <c r="D32" s="12" t="str">
        <f aca="false">Claims_Data!J32</f>
        <v>Paid</v>
      </c>
      <c r="E32" s="13" t="n">
        <f aca="false">Claims_Data!G32</f>
        <v>147.26</v>
      </c>
      <c r="F32" s="13" t="n">
        <f aca="false">Claims_Data!H32</f>
        <v>84.04</v>
      </c>
      <c r="G32" s="7" t="str">
        <f aca="false">VLOOKUP(C32,Reimbursement_Rates!$A$18:$B$22,2,FALSE())</f>
        <v>Medicaid_Rate</v>
      </c>
      <c r="H32" s="14" t="n">
        <f aca="false">INDEX(Reimbursement_Rates!$A$1:$G$11,MATCH(B32,Reimbursement_Rates!$A$1:$A$11,0),MATCH(G32,Reimbursement_Rates!$A$1:$G$1,0))</f>
        <v>118</v>
      </c>
      <c r="I32" s="14" t="n">
        <f aca="false">F32-H32</f>
        <v>-33.96</v>
      </c>
      <c r="J32" s="16" t="n">
        <f aca="false">IFERROR(I32/H32,0)</f>
        <v>-0.287796610169492</v>
      </c>
    </row>
    <row r="33" customFormat="false" ht="15" hidden="false" customHeight="false" outlineLevel="0" collapsed="false">
      <c r="A33" s="12" t="n">
        <f aca="false">Claims_Data!A33</f>
        <v>100032</v>
      </c>
      <c r="B33" s="12" t="str">
        <f aca="false">Claims_Data!E33</f>
        <v>71046</v>
      </c>
      <c r="C33" s="12" t="str">
        <f aca="false">Claims_Data!D33</f>
        <v>Medicare</v>
      </c>
      <c r="D33" s="12" t="str">
        <f aca="false">Claims_Data!J33</f>
        <v>Paid</v>
      </c>
      <c r="E33" s="13" t="n">
        <f aca="false">Claims_Data!G33</f>
        <v>65.5</v>
      </c>
      <c r="F33" s="13" t="n">
        <f aca="false">Claims_Data!H33</f>
        <v>46.72</v>
      </c>
      <c r="G33" s="7" t="str">
        <f aca="false">VLOOKUP(C33,Reimbursement_Rates!$A$18:$B$22,2,FALSE())</f>
        <v>Medicare_Rate</v>
      </c>
      <c r="H33" s="14" t="n">
        <f aca="false">INDEX(Reimbursement_Rates!$A$1:$G$11,MATCH(B33,Reimbursement_Rates!$A$1:$A$11,0),MATCH(G33,Reimbursement_Rates!$A$1:$G$1,0))</f>
        <v>48</v>
      </c>
      <c r="I33" s="14" t="n">
        <f aca="false">F33-H33</f>
        <v>-1.28</v>
      </c>
      <c r="J33" s="16" t="n">
        <f aca="false">IFERROR(I33/H33,0)</f>
        <v>-0.0266666666666667</v>
      </c>
    </row>
    <row r="34" customFormat="false" ht="15" hidden="false" customHeight="false" outlineLevel="0" collapsed="false">
      <c r="A34" s="12" t="n">
        <f aca="false">Claims_Data!A34</f>
        <v>100033</v>
      </c>
      <c r="B34" s="12" t="str">
        <f aca="false">Claims_Data!E34</f>
        <v>99214</v>
      </c>
      <c r="C34" s="12" t="str">
        <f aca="false">Claims_Data!D34</f>
        <v>Medicaid</v>
      </c>
      <c r="D34" s="12" t="str">
        <f aca="false">Claims_Data!J34</f>
        <v>Paid</v>
      </c>
      <c r="E34" s="13" t="n">
        <f aca="false">Claims_Data!G34</f>
        <v>119.09</v>
      </c>
      <c r="F34" s="13" t="n">
        <f aca="false">Claims_Data!H34</f>
        <v>82.08</v>
      </c>
      <c r="G34" s="7" t="str">
        <f aca="false">VLOOKUP(C34,Reimbursement_Rates!$A$18:$B$22,2,FALSE())</f>
        <v>Medicaid_Rate</v>
      </c>
      <c r="H34" s="14" t="n">
        <f aca="false">INDEX(Reimbursement_Rates!$A$1:$G$11,MATCH(B34,Reimbursement_Rates!$A$1:$A$11,0),MATCH(G34,Reimbursement_Rates!$A$1:$G$1,0))</f>
        <v>84</v>
      </c>
      <c r="I34" s="14" t="n">
        <f aca="false">F34-H34</f>
        <v>-1.92</v>
      </c>
      <c r="J34" s="16" t="n">
        <f aca="false">IFERROR(I34/H34,0)</f>
        <v>-0.0228571428571429</v>
      </c>
    </row>
    <row r="35" customFormat="false" ht="15" hidden="false" customHeight="false" outlineLevel="0" collapsed="false">
      <c r="A35" s="12" t="n">
        <f aca="false">Claims_Data!A35</f>
        <v>100034</v>
      </c>
      <c r="B35" s="12" t="str">
        <f aca="false">Claims_Data!E35</f>
        <v>99214</v>
      </c>
      <c r="C35" s="12" t="str">
        <f aca="false">Claims_Data!D35</f>
        <v>Commercial - Aetna</v>
      </c>
      <c r="D35" s="12" t="str">
        <f aca="false">Claims_Data!J35</f>
        <v>Paid</v>
      </c>
      <c r="E35" s="13" t="n">
        <f aca="false">Claims_Data!G35</f>
        <v>220.88</v>
      </c>
      <c r="F35" s="13" t="n">
        <f aca="false">Claims_Data!H35</f>
        <v>169.3</v>
      </c>
      <c r="G35" s="7" t="str">
        <f aca="false">VLOOKUP(C35,Reimbursement_Rates!$A$18:$B$22,2,FALSE())</f>
        <v>Commercial_Rate</v>
      </c>
      <c r="H35" s="14" t="n">
        <f aca="false">INDEX(Reimbursement_Rates!$A$1:$G$11,MATCH(B35,Reimbursement_Rates!$A$1:$A$11,0),MATCH(G35,Reimbursement_Rates!$A$1:$G$1,0))</f>
        <v>165</v>
      </c>
      <c r="I35" s="14" t="n">
        <f aca="false">F35-H35</f>
        <v>4.30000000000001</v>
      </c>
      <c r="J35" s="16" t="n">
        <f aca="false">IFERROR(I35/H35,0)</f>
        <v>0.0260606060606061</v>
      </c>
    </row>
    <row r="36" customFormat="false" ht="15" hidden="false" customHeight="false" outlineLevel="0" collapsed="false">
      <c r="A36" s="12" t="n">
        <f aca="false">Claims_Data!A36</f>
        <v>100035</v>
      </c>
      <c r="B36" s="12" t="str">
        <f aca="false">Claims_Data!E36</f>
        <v>99204</v>
      </c>
      <c r="C36" s="12" t="str">
        <f aca="false">Claims_Data!D36</f>
        <v>Medicaid</v>
      </c>
      <c r="D36" s="12" t="str">
        <f aca="false">Claims_Data!J36</f>
        <v>Paid</v>
      </c>
      <c r="E36" s="13" t="n">
        <f aca="false">Claims_Data!G36</f>
        <v>156.72</v>
      </c>
      <c r="F36" s="13" t="n">
        <f aca="false">Claims_Data!H36</f>
        <v>116.7</v>
      </c>
      <c r="G36" s="7" t="str">
        <f aca="false">VLOOKUP(C36,Reimbursement_Rates!$A$18:$B$22,2,FALSE())</f>
        <v>Medicaid_Rate</v>
      </c>
      <c r="H36" s="14" t="n">
        <f aca="false">INDEX(Reimbursement_Rates!$A$1:$G$11,MATCH(B36,Reimbursement_Rates!$A$1:$A$11,0),MATCH(G36,Reimbursement_Rates!$A$1:$G$1,0))</f>
        <v>118</v>
      </c>
      <c r="I36" s="14" t="n">
        <f aca="false">F36-H36</f>
        <v>-1.3</v>
      </c>
      <c r="J36" s="16" t="n">
        <f aca="false">IFERROR(I36/H36,0)</f>
        <v>-0.0110169491525423</v>
      </c>
    </row>
    <row r="37" customFormat="false" ht="15" hidden="false" customHeight="false" outlineLevel="0" collapsed="false">
      <c r="A37" s="12" t="n">
        <f aca="false">Claims_Data!A37</f>
        <v>100036</v>
      </c>
      <c r="B37" s="12" t="str">
        <f aca="false">Claims_Data!E37</f>
        <v>71046</v>
      </c>
      <c r="C37" s="12" t="str">
        <f aca="false">Claims_Data!D37</f>
        <v>Commercial - Blue Shield</v>
      </c>
      <c r="D37" s="12" t="str">
        <f aca="false">Claims_Data!J37</f>
        <v>Pending</v>
      </c>
      <c r="E37" s="13" t="n">
        <f aca="false">Claims_Data!G37</f>
        <v>99.16</v>
      </c>
      <c r="F37" s="13" t="n">
        <f aca="false">Claims_Data!H37</f>
        <v>0</v>
      </c>
      <c r="G37" s="7" t="str">
        <f aca="false">VLOOKUP(C37,Reimbursement_Rates!$A$18:$B$22,2,FALSE())</f>
        <v>Commercial_Rate</v>
      </c>
      <c r="H37" s="14" t="n">
        <f aca="false">INDEX(Reimbursement_Rates!$A$1:$G$11,MATCH(B37,Reimbursement_Rates!$A$1:$A$11,0),MATCH(G37,Reimbursement_Rates!$A$1:$G$1,0))</f>
        <v>62</v>
      </c>
      <c r="I37" s="14" t="n">
        <f aca="false">F37-H37</f>
        <v>-62</v>
      </c>
      <c r="J37" s="16" t="n">
        <f aca="false">IFERROR(I37/H37,0)</f>
        <v>-1</v>
      </c>
    </row>
    <row r="38" customFormat="false" ht="15" hidden="false" customHeight="false" outlineLevel="0" collapsed="false">
      <c r="A38" s="12" t="n">
        <f aca="false">Claims_Data!A38</f>
        <v>100037</v>
      </c>
      <c r="B38" s="12" t="str">
        <f aca="false">Claims_Data!E38</f>
        <v>99204</v>
      </c>
      <c r="C38" s="12" t="str">
        <f aca="false">Claims_Data!D38</f>
        <v>Commercial - Aetna</v>
      </c>
      <c r="D38" s="12" t="str">
        <f aca="false">Claims_Data!J38</f>
        <v>Paid</v>
      </c>
      <c r="E38" s="13" t="n">
        <f aca="false">Claims_Data!G38</f>
        <v>278.21</v>
      </c>
      <c r="F38" s="13" t="n">
        <f aca="false">Claims_Data!H38</f>
        <v>226.47</v>
      </c>
      <c r="G38" s="7" t="str">
        <f aca="false">VLOOKUP(C38,Reimbursement_Rates!$A$18:$B$22,2,FALSE())</f>
        <v>Commercial_Rate</v>
      </c>
      <c r="H38" s="14" t="n">
        <f aca="false">INDEX(Reimbursement_Rates!$A$1:$G$11,MATCH(B38,Reimbursement_Rates!$A$1:$A$11,0),MATCH(G38,Reimbursement_Rates!$A$1:$G$1,0))</f>
        <v>230</v>
      </c>
      <c r="I38" s="14" t="n">
        <f aca="false">F38-H38</f>
        <v>-3.53</v>
      </c>
      <c r="J38" s="16" t="n">
        <f aca="false">IFERROR(I38/H38,0)</f>
        <v>-0.0153478260869565</v>
      </c>
    </row>
    <row r="39" customFormat="false" ht="15" hidden="false" customHeight="false" outlineLevel="0" collapsed="false">
      <c r="A39" s="12" t="n">
        <f aca="false">Claims_Data!A39</f>
        <v>100038</v>
      </c>
      <c r="B39" s="12" t="str">
        <f aca="false">Claims_Data!E39</f>
        <v>93000</v>
      </c>
      <c r="C39" s="12" t="str">
        <f aca="false">Claims_Data!D39</f>
        <v>Commercial - Blue Shield</v>
      </c>
      <c r="D39" s="12" t="str">
        <f aca="false">Claims_Data!J39</f>
        <v>Paid</v>
      </c>
      <c r="E39" s="13" t="n">
        <f aca="false">Claims_Data!G39</f>
        <v>64.53</v>
      </c>
      <c r="F39" s="13" t="n">
        <f aca="false">Claims_Data!H39</f>
        <v>50.52</v>
      </c>
      <c r="G39" s="7" t="str">
        <f aca="false">VLOOKUP(C39,Reimbursement_Rates!$A$18:$B$22,2,FALSE())</f>
        <v>Commercial_Rate</v>
      </c>
      <c r="H39" s="14" t="n">
        <f aca="false">INDEX(Reimbursement_Rates!$A$1:$G$11,MATCH(B39,Reimbursement_Rates!$A$1:$A$11,0),MATCH(G39,Reimbursement_Rates!$A$1:$G$1,0))</f>
        <v>44</v>
      </c>
      <c r="I39" s="14" t="n">
        <f aca="false">F39-H39</f>
        <v>6.52</v>
      </c>
      <c r="J39" s="16" t="n">
        <f aca="false">IFERROR(I39/H39,0)</f>
        <v>0.148181818181818</v>
      </c>
    </row>
    <row r="40" customFormat="false" ht="15" hidden="false" customHeight="false" outlineLevel="0" collapsed="false">
      <c r="A40" s="12" t="n">
        <f aca="false">Claims_Data!A40</f>
        <v>100039</v>
      </c>
      <c r="B40" s="12" t="str">
        <f aca="false">Claims_Data!E40</f>
        <v>99215</v>
      </c>
      <c r="C40" s="12" t="str">
        <f aca="false">Claims_Data!D40</f>
        <v>Medicare</v>
      </c>
      <c r="D40" s="12" t="str">
        <f aca="false">Claims_Data!J40</f>
        <v>Paid</v>
      </c>
      <c r="E40" s="13" t="n">
        <f aca="false">Claims_Data!G40</f>
        <v>232.23</v>
      </c>
      <c r="F40" s="13" t="n">
        <f aca="false">Claims_Data!H40</f>
        <v>133.79</v>
      </c>
      <c r="G40" s="7" t="str">
        <f aca="false">VLOOKUP(C40,Reimbursement_Rates!$A$18:$B$22,2,FALSE())</f>
        <v>Medicare_Rate</v>
      </c>
      <c r="H40" s="14" t="n">
        <f aca="false">INDEX(Reimbursement_Rates!$A$1:$G$11,MATCH(B40,Reimbursement_Rates!$A$1:$A$11,0),MATCH(G40,Reimbursement_Rates!$A$1:$G$1,0))</f>
        <v>183</v>
      </c>
      <c r="I40" s="14" t="n">
        <f aca="false">F40-H40</f>
        <v>-49.21</v>
      </c>
      <c r="J40" s="16" t="n">
        <f aca="false">IFERROR(I40/H40,0)</f>
        <v>-0.268907103825137</v>
      </c>
    </row>
    <row r="41" customFormat="false" ht="15" hidden="false" customHeight="false" outlineLevel="0" collapsed="false">
      <c r="A41" s="12" t="n">
        <f aca="false">Claims_Data!A41</f>
        <v>100040</v>
      </c>
      <c r="B41" s="12" t="str">
        <f aca="false">Claims_Data!E41</f>
        <v>99203</v>
      </c>
      <c r="C41" s="12" t="str">
        <f aca="false">Claims_Data!D41</f>
        <v>Kaiser HMO</v>
      </c>
      <c r="D41" s="12" t="str">
        <f aca="false">Claims_Data!J41</f>
        <v>Paid</v>
      </c>
      <c r="E41" s="13" t="n">
        <f aca="false">Claims_Data!G41</f>
        <v>175.12</v>
      </c>
      <c r="F41" s="13" t="n">
        <f aca="false">Claims_Data!H41</f>
        <v>118.21</v>
      </c>
      <c r="G41" s="7" t="str">
        <f aca="false">VLOOKUP(C41,Reimbursement_Rates!$A$18:$B$22,2,FALSE())</f>
        <v>Kaiser_HMO_Rate</v>
      </c>
      <c r="H41" s="14" t="n">
        <f aca="false">INDEX(Reimbursement_Rates!$A$1:$G$11,MATCH(B41,Reimbursement_Rates!$A$1:$A$11,0),MATCH(G41,Reimbursement_Rates!$A$1:$G$1,0))</f>
        <v>120</v>
      </c>
      <c r="I41" s="14" t="n">
        <f aca="false">F41-H41</f>
        <v>-1.79000000000001</v>
      </c>
      <c r="J41" s="16" t="n">
        <f aca="false">IFERROR(I41/H41,0)</f>
        <v>-0.0149166666666667</v>
      </c>
    </row>
    <row r="42" customFormat="false" ht="15" hidden="false" customHeight="false" outlineLevel="0" collapsed="false">
      <c r="A42" s="12" t="n">
        <f aca="false">Claims_Data!A42</f>
        <v>100041</v>
      </c>
      <c r="B42" s="12" t="str">
        <f aca="false">Claims_Data!E42</f>
        <v>99204</v>
      </c>
      <c r="C42" s="12" t="str">
        <f aca="false">Claims_Data!D42</f>
        <v>Commercial - Blue Shield</v>
      </c>
      <c r="D42" s="12" t="str">
        <f aca="false">Claims_Data!J42</f>
        <v>Paid</v>
      </c>
      <c r="E42" s="13" t="n">
        <f aca="false">Claims_Data!G42</f>
        <v>269.06</v>
      </c>
      <c r="F42" s="13" t="n">
        <f aca="false">Claims_Data!H42</f>
        <v>236.62</v>
      </c>
      <c r="G42" s="7" t="str">
        <f aca="false">VLOOKUP(C42,Reimbursement_Rates!$A$18:$B$22,2,FALSE())</f>
        <v>Commercial_Rate</v>
      </c>
      <c r="H42" s="14" t="n">
        <f aca="false">INDEX(Reimbursement_Rates!$A$1:$G$11,MATCH(B42,Reimbursement_Rates!$A$1:$A$11,0),MATCH(G42,Reimbursement_Rates!$A$1:$G$1,0))</f>
        <v>230</v>
      </c>
      <c r="I42" s="14" t="n">
        <f aca="false">F42-H42</f>
        <v>6.62</v>
      </c>
      <c r="J42" s="16" t="n">
        <f aca="false">IFERROR(I42/H42,0)</f>
        <v>0.0287826086956522</v>
      </c>
    </row>
    <row r="43" customFormat="false" ht="15" hidden="false" customHeight="false" outlineLevel="0" collapsed="false">
      <c r="A43" s="12" t="n">
        <f aca="false">Claims_Data!A43</f>
        <v>100042</v>
      </c>
      <c r="B43" s="12" t="str">
        <f aca="false">Claims_Data!E43</f>
        <v>36415</v>
      </c>
      <c r="C43" s="12" t="str">
        <f aca="false">Claims_Data!D43</f>
        <v>Commercial - Aetna</v>
      </c>
      <c r="D43" s="12" t="str">
        <f aca="false">Claims_Data!J43</f>
        <v>Paid</v>
      </c>
      <c r="E43" s="13" t="n">
        <f aca="false">Claims_Data!G43</f>
        <v>22.44</v>
      </c>
      <c r="F43" s="13" t="n">
        <f aca="false">Claims_Data!H43</f>
        <v>18.46</v>
      </c>
      <c r="G43" s="7" t="str">
        <f aca="false">VLOOKUP(C43,Reimbursement_Rates!$A$18:$B$22,2,FALSE())</f>
        <v>Commercial_Rate</v>
      </c>
      <c r="H43" s="14" t="n">
        <f aca="false">INDEX(Reimbursement_Rates!$A$1:$G$11,MATCH(B43,Reimbursement_Rates!$A$1:$A$11,0),MATCH(G43,Reimbursement_Rates!$A$1:$G$1,0))</f>
        <v>16</v>
      </c>
      <c r="I43" s="14" t="n">
        <f aca="false">F43-H43</f>
        <v>2.46</v>
      </c>
      <c r="J43" s="16" t="n">
        <f aca="false">IFERROR(I43/H43,0)</f>
        <v>0.15375</v>
      </c>
    </row>
    <row r="44" customFormat="false" ht="15" hidden="false" customHeight="false" outlineLevel="0" collapsed="false">
      <c r="A44" s="12" t="n">
        <f aca="false">Claims_Data!A44</f>
        <v>100043</v>
      </c>
      <c r="B44" s="12" t="str">
        <f aca="false">Claims_Data!E44</f>
        <v>71046</v>
      </c>
      <c r="C44" s="12" t="str">
        <f aca="false">Claims_Data!D44</f>
        <v>Kaiser HMO</v>
      </c>
      <c r="D44" s="12" t="str">
        <f aca="false">Claims_Data!J44</f>
        <v>Paid</v>
      </c>
      <c r="E44" s="13" t="n">
        <f aca="false">Claims_Data!G44</f>
        <v>71.33</v>
      </c>
      <c r="F44" s="13" t="n">
        <f aca="false">Claims_Data!H44</f>
        <v>50.59</v>
      </c>
      <c r="G44" s="7" t="str">
        <f aca="false">VLOOKUP(C44,Reimbursement_Rates!$A$18:$B$22,2,FALSE())</f>
        <v>Kaiser_HMO_Rate</v>
      </c>
      <c r="H44" s="14" t="n">
        <f aca="false">INDEX(Reimbursement_Rates!$A$1:$G$11,MATCH(B44,Reimbursement_Rates!$A$1:$A$11,0),MATCH(G44,Reimbursement_Rates!$A$1:$G$1,0))</f>
        <v>51</v>
      </c>
      <c r="I44" s="14" t="n">
        <f aca="false">F44-H44</f>
        <v>-0.409999999999997</v>
      </c>
      <c r="J44" s="16" t="n">
        <f aca="false">IFERROR(I44/H44,0)</f>
        <v>-0.00803921568627444</v>
      </c>
    </row>
    <row r="45" customFormat="false" ht="15" hidden="false" customHeight="false" outlineLevel="0" collapsed="false">
      <c r="A45" s="12" t="n">
        <f aca="false">Claims_Data!A45</f>
        <v>100044</v>
      </c>
      <c r="B45" s="12" t="str">
        <f aca="false">Claims_Data!E45</f>
        <v>99203</v>
      </c>
      <c r="C45" s="12" t="str">
        <f aca="false">Claims_Data!D45</f>
        <v>Medicaid</v>
      </c>
      <c r="D45" s="12" t="str">
        <f aca="false">Claims_Data!J45</f>
        <v>Paid</v>
      </c>
      <c r="E45" s="13" t="n">
        <f aca="false">Claims_Data!G45</f>
        <v>107.31</v>
      </c>
      <c r="F45" s="13" t="n">
        <f aca="false">Claims_Data!H45</f>
        <v>75.66</v>
      </c>
      <c r="G45" s="7" t="str">
        <f aca="false">VLOOKUP(C45,Reimbursement_Rates!$A$18:$B$22,2,FALSE())</f>
        <v>Medicaid_Rate</v>
      </c>
      <c r="H45" s="14" t="n">
        <f aca="false">INDEX(Reimbursement_Rates!$A$1:$G$11,MATCH(B45,Reimbursement_Rates!$A$1:$A$11,0),MATCH(G45,Reimbursement_Rates!$A$1:$G$1,0))</f>
        <v>74</v>
      </c>
      <c r="I45" s="14" t="n">
        <f aca="false">F45-H45</f>
        <v>1.66</v>
      </c>
      <c r="J45" s="16" t="n">
        <f aca="false">IFERROR(I45/H45,0)</f>
        <v>0.0224324324324324</v>
      </c>
    </row>
    <row r="46" customFormat="false" ht="15" hidden="false" customHeight="false" outlineLevel="0" collapsed="false">
      <c r="A46" s="12" t="n">
        <f aca="false">Claims_Data!A46</f>
        <v>100045</v>
      </c>
      <c r="B46" s="12" t="str">
        <f aca="false">Claims_Data!E46</f>
        <v>99215</v>
      </c>
      <c r="C46" s="12" t="str">
        <f aca="false">Claims_Data!D46</f>
        <v>Medicaid</v>
      </c>
      <c r="D46" s="12" t="str">
        <f aca="false">Claims_Data!J46</f>
        <v>Paid</v>
      </c>
      <c r="E46" s="13" t="n">
        <f aca="false">Claims_Data!G46</f>
        <v>187.14</v>
      </c>
      <c r="F46" s="13" t="n">
        <f aca="false">Claims_Data!H46</f>
        <v>92.74</v>
      </c>
      <c r="G46" s="7" t="str">
        <f aca="false">VLOOKUP(C46,Reimbursement_Rates!$A$18:$B$22,2,FALSE())</f>
        <v>Medicaid_Rate</v>
      </c>
      <c r="H46" s="14" t="n">
        <f aca="false">INDEX(Reimbursement_Rates!$A$1:$G$11,MATCH(B46,Reimbursement_Rates!$A$1:$A$11,0),MATCH(G46,Reimbursement_Rates!$A$1:$G$1,0))</f>
        <v>121</v>
      </c>
      <c r="I46" s="14" t="n">
        <f aca="false">F46-H46</f>
        <v>-28.26</v>
      </c>
      <c r="J46" s="16" t="n">
        <f aca="false">IFERROR(I46/H46,0)</f>
        <v>-0.233553719008265</v>
      </c>
    </row>
    <row r="47" customFormat="false" ht="15" hidden="false" customHeight="false" outlineLevel="0" collapsed="false">
      <c r="A47" s="12" t="n">
        <f aca="false">Claims_Data!A47</f>
        <v>100046</v>
      </c>
      <c r="B47" s="12" t="str">
        <f aca="false">Claims_Data!E47</f>
        <v>99215</v>
      </c>
      <c r="C47" s="12" t="str">
        <f aca="false">Claims_Data!D47</f>
        <v>Kaiser HMO</v>
      </c>
      <c r="D47" s="12" t="str">
        <f aca="false">Claims_Data!J47</f>
        <v>Paid</v>
      </c>
      <c r="E47" s="13" t="n">
        <f aca="false">Claims_Data!G47</f>
        <v>294.85</v>
      </c>
      <c r="F47" s="13" t="n">
        <f aca="false">Claims_Data!H47</f>
        <v>231.04</v>
      </c>
      <c r="G47" s="7" t="str">
        <f aca="false">VLOOKUP(C47,Reimbursement_Rates!$A$18:$B$22,2,FALSE())</f>
        <v>Kaiser_HMO_Rate</v>
      </c>
      <c r="H47" s="14" t="n">
        <f aca="false">INDEX(Reimbursement_Rates!$A$1:$G$11,MATCH(B47,Reimbursement_Rates!$A$1:$A$11,0),MATCH(G47,Reimbursement_Rates!$A$1:$G$1,0))</f>
        <v>196</v>
      </c>
      <c r="I47" s="14" t="n">
        <f aca="false">F47-H47</f>
        <v>35.04</v>
      </c>
      <c r="J47" s="16" t="n">
        <f aca="false">IFERROR(I47/H47,0)</f>
        <v>0.178775510204082</v>
      </c>
    </row>
    <row r="48" customFormat="false" ht="15" hidden="false" customHeight="false" outlineLevel="0" collapsed="false">
      <c r="A48" s="12" t="n">
        <f aca="false">Claims_Data!A48</f>
        <v>100047</v>
      </c>
      <c r="B48" s="12" t="str">
        <f aca="false">Claims_Data!E48</f>
        <v>90935</v>
      </c>
      <c r="C48" s="12" t="str">
        <f aca="false">Claims_Data!D48</f>
        <v>Commercial - Blue Shield</v>
      </c>
      <c r="D48" s="12" t="str">
        <f aca="false">Claims_Data!J48</f>
        <v>Paid</v>
      </c>
      <c r="E48" s="13" t="n">
        <f aca="false">Claims_Data!G48</f>
        <v>240.73</v>
      </c>
      <c r="F48" s="13" t="n">
        <f aca="false">Claims_Data!H48</f>
        <v>181.66</v>
      </c>
      <c r="G48" s="7" t="str">
        <f aca="false">VLOOKUP(C48,Reimbursement_Rates!$A$18:$B$22,2,FALSE())</f>
        <v>Commercial_Rate</v>
      </c>
      <c r="H48" s="14" t="n">
        <f aca="false">INDEX(Reimbursement_Rates!$A$1:$G$11,MATCH(B48,Reimbursement_Rates!$A$1:$A$11,0),MATCH(G48,Reimbursement_Rates!$A$1:$G$1,0))</f>
        <v>187</v>
      </c>
      <c r="I48" s="14" t="n">
        <f aca="false">F48-H48</f>
        <v>-5.34</v>
      </c>
      <c r="J48" s="16" t="n">
        <f aca="false">IFERROR(I48/H48,0)</f>
        <v>-0.0285561497326203</v>
      </c>
    </row>
    <row r="49" customFormat="false" ht="15" hidden="false" customHeight="false" outlineLevel="0" collapsed="false">
      <c r="A49" s="12" t="n">
        <f aca="false">Claims_Data!A49</f>
        <v>100048</v>
      </c>
      <c r="B49" s="12" t="str">
        <f aca="false">Claims_Data!E49</f>
        <v>99204</v>
      </c>
      <c r="C49" s="12" t="str">
        <f aca="false">Claims_Data!D49</f>
        <v>Kaiser HMO</v>
      </c>
      <c r="D49" s="12" t="str">
        <f aca="false">Claims_Data!J49</f>
        <v>Denied</v>
      </c>
      <c r="E49" s="13" t="n">
        <f aca="false">Claims_Data!G49</f>
        <v>293.94</v>
      </c>
      <c r="F49" s="13" t="n">
        <f aca="false">Claims_Data!H49</f>
        <v>0</v>
      </c>
      <c r="G49" s="7" t="str">
        <f aca="false">VLOOKUP(C49,Reimbursement_Rates!$A$18:$B$22,2,FALSE())</f>
        <v>Kaiser_HMO_Rate</v>
      </c>
      <c r="H49" s="14" t="n">
        <f aca="false">INDEX(Reimbursement_Rates!$A$1:$G$11,MATCH(B49,Reimbursement_Rates!$A$1:$A$11,0),MATCH(G49,Reimbursement_Rates!$A$1:$G$1,0))</f>
        <v>191</v>
      </c>
      <c r="I49" s="14" t="n">
        <f aca="false">F49-H49</f>
        <v>-191</v>
      </c>
      <c r="J49" s="16" t="n">
        <f aca="false">IFERROR(I49/H49,0)</f>
        <v>-1</v>
      </c>
    </row>
    <row r="50" customFormat="false" ht="15" hidden="false" customHeight="false" outlineLevel="0" collapsed="false">
      <c r="A50" s="12" t="n">
        <f aca="false">Claims_Data!A50</f>
        <v>100049</v>
      </c>
      <c r="B50" s="12" t="str">
        <f aca="false">Claims_Data!E50</f>
        <v>90935</v>
      </c>
      <c r="C50" s="12" t="str">
        <f aca="false">Claims_Data!D50</f>
        <v>Commercial - Aetna</v>
      </c>
      <c r="D50" s="12" t="str">
        <f aca="false">Claims_Data!J50</f>
        <v>Paid</v>
      </c>
      <c r="E50" s="13" t="n">
        <f aca="false">Claims_Data!G50</f>
        <v>294.09</v>
      </c>
      <c r="F50" s="13" t="n">
        <f aca="false">Claims_Data!H50</f>
        <v>201.36</v>
      </c>
      <c r="G50" s="7" t="str">
        <f aca="false">VLOOKUP(C50,Reimbursement_Rates!$A$18:$B$22,2,FALSE())</f>
        <v>Commercial_Rate</v>
      </c>
      <c r="H50" s="14" t="n">
        <f aca="false">INDEX(Reimbursement_Rates!$A$1:$G$11,MATCH(B50,Reimbursement_Rates!$A$1:$A$11,0),MATCH(G50,Reimbursement_Rates!$A$1:$G$1,0))</f>
        <v>187</v>
      </c>
      <c r="I50" s="14" t="n">
        <f aca="false">F50-H50</f>
        <v>14.36</v>
      </c>
      <c r="J50" s="16" t="n">
        <f aca="false">IFERROR(I50/H50,0)</f>
        <v>0.0767914438502675</v>
      </c>
    </row>
    <row r="51" customFormat="false" ht="15" hidden="false" customHeight="false" outlineLevel="0" collapsed="false">
      <c r="A51" s="12" t="n">
        <f aca="false">Claims_Data!A51</f>
        <v>100050</v>
      </c>
      <c r="B51" s="12" t="str">
        <f aca="false">Claims_Data!E51</f>
        <v>71046</v>
      </c>
      <c r="C51" s="12" t="str">
        <f aca="false">Claims_Data!D51</f>
        <v>Medicare</v>
      </c>
      <c r="D51" s="12" t="str">
        <f aca="false">Claims_Data!J51</f>
        <v>Paid</v>
      </c>
      <c r="E51" s="13" t="n">
        <f aca="false">Claims_Data!G51</f>
        <v>64.59</v>
      </c>
      <c r="F51" s="13" t="n">
        <f aca="false">Claims_Data!H51</f>
        <v>48.31</v>
      </c>
      <c r="G51" s="7" t="str">
        <f aca="false">VLOOKUP(C51,Reimbursement_Rates!$A$18:$B$22,2,FALSE())</f>
        <v>Medicare_Rate</v>
      </c>
      <c r="H51" s="14" t="n">
        <f aca="false">INDEX(Reimbursement_Rates!$A$1:$G$11,MATCH(B51,Reimbursement_Rates!$A$1:$A$11,0),MATCH(G51,Reimbursement_Rates!$A$1:$G$1,0))</f>
        <v>48</v>
      </c>
      <c r="I51" s="14" t="n">
        <f aca="false">F51-H51</f>
        <v>0.310000000000002</v>
      </c>
      <c r="J51" s="16" t="n">
        <f aca="false">IFERROR(I51/H51,0)</f>
        <v>0.00645833333333338</v>
      </c>
    </row>
    <row r="52" customFormat="false" ht="15" hidden="false" customHeight="false" outlineLevel="0" collapsed="false">
      <c r="A52" s="12" t="n">
        <f aca="false">Claims_Data!A52</f>
        <v>100051</v>
      </c>
      <c r="B52" s="12" t="str">
        <f aca="false">Claims_Data!E52</f>
        <v>71046</v>
      </c>
      <c r="C52" s="12" t="str">
        <f aca="false">Claims_Data!D52</f>
        <v>Commercial - Blue Shield</v>
      </c>
      <c r="D52" s="12" t="str">
        <f aca="false">Claims_Data!J52</f>
        <v>Paid</v>
      </c>
      <c r="E52" s="13" t="n">
        <f aca="false">Claims_Data!G52</f>
        <v>76.6</v>
      </c>
      <c r="F52" s="13" t="n">
        <f aca="false">Claims_Data!H52</f>
        <v>62.07</v>
      </c>
      <c r="G52" s="7" t="str">
        <f aca="false">VLOOKUP(C52,Reimbursement_Rates!$A$18:$B$22,2,FALSE())</f>
        <v>Commercial_Rate</v>
      </c>
      <c r="H52" s="14" t="n">
        <f aca="false">INDEX(Reimbursement_Rates!$A$1:$G$11,MATCH(B52,Reimbursement_Rates!$A$1:$A$11,0),MATCH(G52,Reimbursement_Rates!$A$1:$G$1,0))</f>
        <v>62</v>
      </c>
      <c r="I52" s="14" t="n">
        <f aca="false">F52-H52</f>
        <v>0.0700000000000003</v>
      </c>
      <c r="J52" s="16" t="n">
        <f aca="false">IFERROR(I52/H52,0)</f>
        <v>0.00112903225806452</v>
      </c>
    </row>
    <row r="53" customFormat="false" ht="15" hidden="false" customHeight="false" outlineLevel="0" collapsed="false">
      <c r="A53" s="12" t="n">
        <f aca="false">Claims_Data!A53</f>
        <v>100052</v>
      </c>
      <c r="B53" s="12" t="str">
        <f aca="false">Claims_Data!E53</f>
        <v>99214</v>
      </c>
      <c r="C53" s="12" t="str">
        <f aca="false">Claims_Data!D53</f>
        <v>Commercial - Blue Shield</v>
      </c>
      <c r="D53" s="12" t="str">
        <f aca="false">Claims_Data!J53</f>
        <v>Paid</v>
      </c>
      <c r="E53" s="13" t="n">
        <f aca="false">Claims_Data!G53</f>
        <v>260.2</v>
      </c>
      <c r="F53" s="13" t="n">
        <f aca="false">Claims_Data!H53</f>
        <v>166.62</v>
      </c>
      <c r="G53" s="7" t="str">
        <f aca="false">VLOOKUP(C53,Reimbursement_Rates!$A$18:$B$22,2,FALSE())</f>
        <v>Commercial_Rate</v>
      </c>
      <c r="H53" s="14" t="n">
        <f aca="false">INDEX(Reimbursement_Rates!$A$1:$G$11,MATCH(B53,Reimbursement_Rates!$A$1:$A$11,0),MATCH(G53,Reimbursement_Rates!$A$1:$G$1,0))</f>
        <v>165</v>
      </c>
      <c r="I53" s="14" t="n">
        <f aca="false">F53-H53</f>
        <v>1.62</v>
      </c>
      <c r="J53" s="16" t="n">
        <f aca="false">IFERROR(I53/H53,0)</f>
        <v>0.00981818181818185</v>
      </c>
    </row>
    <row r="54" customFormat="false" ht="15" hidden="false" customHeight="false" outlineLevel="0" collapsed="false">
      <c r="A54" s="12" t="n">
        <f aca="false">Claims_Data!A54</f>
        <v>100053</v>
      </c>
      <c r="B54" s="12" t="str">
        <f aca="false">Claims_Data!E54</f>
        <v>99204</v>
      </c>
      <c r="C54" s="12" t="str">
        <f aca="false">Claims_Data!D54</f>
        <v>Commercial - Aetna</v>
      </c>
      <c r="D54" s="12" t="str">
        <f aca="false">Claims_Data!J54</f>
        <v>Paid</v>
      </c>
      <c r="E54" s="13" t="n">
        <f aca="false">Claims_Data!G54</f>
        <v>333.52</v>
      </c>
      <c r="F54" s="13" t="n">
        <f aca="false">Claims_Data!H54</f>
        <v>186.5</v>
      </c>
      <c r="G54" s="7" t="str">
        <f aca="false">VLOOKUP(C54,Reimbursement_Rates!$A$18:$B$22,2,FALSE())</f>
        <v>Commercial_Rate</v>
      </c>
      <c r="H54" s="14" t="n">
        <f aca="false">INDEX(Reimbursement_Rates!$A$1:$G$11,MATCH(B54,Reimbursement_Rates!$A$1:$A$11,0),MATCH(G54,Reimbursement_Rates!$A$1:$G$1,0))</f>
        <v>230</v>
      </c>
      <c r="I54" s="14" t="n">
        <f aca="false">F54-H54</f>
        <v>-43.5</v>
      </c>
      <c r="J54" s="16" t="n">
        <f aca="false">IFERROR(I54/H54,0)</f>
        <v>-0.189130434782609</v>
      </c>
    </row>
    <row r="55" customFormat="false" ht="15" hidden="false" customHeight="false" outlineLevel="0" collapsed="false">
      <c r="A55" s="12" t="n">
        <f aca="false">Claims_Data!A55</f>
        <v>100054</v>
      </c>
      <c r="B55" s="12" t="str">
        <f aca="false">Claims_Data!E55</f>
        <v>99215</v>
      </c>
      <c r="C55" s="12" t="str">
        <f aca="false">Claims_Data!D55</f>
        <v>Commercial - Blue Shield</v>
      </c>
      <c r="D55" s="12" t="str">
        <f aca="false">Claims_Data!J55</f>
        <v>Paid</v>
      </c>
      <c r="E55" s="13" t="n">
        <f aca="false">Claims_Data!G55</f>
        <v>336.77</v>
      </c>
      <c r="F55" s="13" t="n">
        <f aca="false">Claims_Data!H55</f>
        <v>228.93</v>
      </c>
      <c r="G55" s="7" t="str">
        <f aca="false">VLOOKUP(C55,Reimbursement_Rates!$A$18:$B$22,2,FALSE())</f>
        <v>Commercial_Rate</v>
      </c>
      <c r="H55" s="14" t="n">
        <f aca="false">INDEX(Reimbursement_Rates!$A$1:$G$11,MATCH(B55,Reimbursement_Rates!$A$1:$A$11,0),MATCH(G55,Reimbursement_Rates!$A$1:$G$1,0))</f>
        <v>236</v>
      </c>
      <c r="I55" s="14" t="n">
        <f aca="false">F55-H55</f>
        <v>-7.06999999999999</v>
      </c>
      <c r="J55" s="16" t="n">
        <f aca="false">IFERROR(I55/H55,0)</f>
        <v>-0.029957627118644</v>
      </c>
    </row>
    <row r="56" customFormat="false" ht="15" hidden="false" customHeight="false" outlineLevel="0" collapsed="false">
      <c r="A56" s="12" t="n">
        <f aca="false">Claims_Data!A56</f>
        <v>100055</v>
      </c>
      <c r="B56" s="12" t="str">
        <f aca="false">Claims_Data!E56</f>
        <v>71046</v>
      </c>
      <c r="C56" s="12" t="str">
        <f aca="false">Claims_Data!D56</f>
        <v>Commercial - Blue Shield</v>
      </c>
      <c r="D56" s="12" t="str">
        <f aca="false">Claims_Data!J56</f>
        <v>Paid</v>
      </c>
      <c r="E56" s="13" t="n">
        <f aca="false">Claims_Data!G56</f>
        <v>88.23</v>
      </c>
      <c r="F56" s="13" t="n">
        <f aca="false">Claims_Data!H56</f>
        <v>62.65</v>
      </c>
      <c r="G56" s="7" t="str">
        <f aca="false">VLOOKUP(C56,Reimbursement_Rates!$A$18:$B$22,2,FALSE())</f>
        <v>Commercial_Rate</v>
      </c>
      <c r="H56" s="14" t="n">
        <f aca="false">INDEX(Reimbursement_Rates!$A$1:$G$11,MATCH(B56,Reimbursement_Rates!$A$1:$A$11,0),MATCH(G56,Reimbursement_Rates!$A$1:$G$1,0))</f>
        <v>62</v>
      </c>
      <c r="I56" s="14" t="n">
        <f aca="false">F56-H56</f>
        <v>0.649999999999999</v>
      </c>
      <c r="J56" s="16" t="n">
        <f aca="false">IFERROR(I56/H56,0)</f>
        <v>0.0104838709677419</v>
      </c>
    </row>
    <row r="57" customFormat="false" ht="15" hidden="false" customHeight="false" outlineLevel="0" collapsed="false">
      <c r="A57" s="12" t="n">
        <f aca="false">Claims_Data!A57</f>
        <v>100056</v>
      </c>
      <c r="B57" s="12" t="str">
        <f aca="false">Claims_Data!E57</f>
        <v>99214</v>
      </c>
      <c r="C57" s="12" t="str">
        <f aca="false">Claims_Data!D57</f>
        <v>Medicaid</v>
      </c>
      <c r="D57" s="12" t="str">
        <f aca="false">Claims_Data!J57</f>
        <v>Paid</v>
      </c>
      <c r="E57" s="13" t="n">
        <f aca="false">Claims_Data!G57</f>
        <v>107.33</v>
      </c>
      <c r="F57" s="13" t="n">
        <f aca="false">Claims_Data!H57</f>
        <v>81.95</v>
      </c>
      <c r="G57" s="7" t="str">
        <f aca="false">VLOOKUP(C57,Reimbursement_Rates!$A$18:$B$22,2,FALSE())</f>
        <v>Medicaid_Rate</v>
      </c>
      <c r="H57" s="14" t="n">
        <f aca="false">INDEX(Reimbursement_Rates!$A$1:$G$11,MATCH(B57,Reimbursement_Rates!$A$1:$A$11,0),MATCH(G57,Reimbursement_Rates!$A$1:$G$1,0))</f>
        <v>84</v>
      </c>
      <c r="I57" s="14" t="n">
        <f aca="false">F57-H57</f>
        <v>-2.05</v>
      </c>
      <c r="J57" s="16" t="n">
        <f aca="false">IFERROR(I57/H57,0)</f>
        <v>-0.0244047619047619</v>
      </c>
    </row>
    <row r="58" customFormat="false" ht="15" hidden="false" customHeight="false" outlineLevel="0" collapsed="false">
      <c r="A58" s="12" t="n">
        <f aca="false">Claims_Data!A58</f>
        <v>100057</v>
      </c>
      <c r="B58" s="12" t="str">
        <f aca="false">Claims_Data!E58</f>
        <v>99203</v>
      </c>
      <c r="C58" s="12" t="str">
        <f aca="false">Claims_Data!D58</f>
        <v>Medicaid</v>
      </c>
      <c r="D58" s="12" t="str">
        <f aca="false">Claims_Data!J58</f>
        <v>Paid</v>
      </c>
      <c r="E58" s="13" t="n">
        <f aca="false">Claims_Data!G58</f>
        <v>90.01</v>
      </c>
      <c r="F58" s="13" t="n">
        <f aca="false">Claims_Data!H58</f>
        <v>84.49</v>
      </c>
      <c r="G58" s="7" t="str">
        <f aca="false">VLOOKUP(C58,Reimbursement_Rates!$A$18:$B$22,2,FALSE())</f>
        <v>Medicaid_Rate</v>
      </c>
      <c r="H58" s="14" t="n">
        <f aca="false">INDEX(Reimbursement_Rates!$A$1:$G$11,MATCH(B58,Reimbursement_Rates!$A$1:$A$11,0),MATCH(G58,Reimbursement_Rates!$A$1:$G$1,0))</f>
        <v>74</v>
      </c>
      <c r="I58" s="14" t="n">
        <f aca="false">F58-H58</f>
        <v>10.49</v>
      </c>
      <c r="J58" s="16" t="n">
        <f aca="false">IFERROR(I58/H58,0)</f>
        <v>0.141756756756757</v>
      </c>
    </row>
    <row r="59" customFormat="false" ht="15" hidden="false" customHeight="false" outlineLevel="0" collapsed="false">
      <c r="A59" s="12" t="n">
        <f aca="false">Claims_Data!A59</f>
        <v>100058</v>
      </c>
      <c r="B59" s="12" t="str">
        <f aca="false">Claims_Data!E59</f>
        <v>71046</v>
      </c>
      <c r="C59" s="12" t="str">
        <f aca="false">Claims_Data!D59</f>
        <v>Commercial - Blue Shield</v>
      </c>
      <c r="D59" s="12" t="str">
        <f aca="false">Claims_Data!J59</f>
        <v>Paid</v>
      </c>
      <c r="E59" s="13" t="n">
        <f aca="false">Claims_Data!G59</f>
        <v>76.72</v>
      </c>
      <c r="F59" s="13" t="n">
        <f aca="false">Claims_Data!H59</f>
        <v>61.05</v>
      </c>
      <c r="G59" s="7" t="str">
        <f aca="false">VLOOKUP(C59,Reimbursement_Rates!$A$18:$B$22,2,FALSE())</f>
        <v>Commercial_Rate</v>
      </c>
      <c r="H59" s="14" t="n">
        <f aca="false">INDEX(Reimbursement_Rates!$A$1:$G$11,MATCH(B59,Reimbursement_Rates!$A$1:$A$11,0),MATCH(G59,Reimbursement_Rates!$A$1:$G$1,0))</f>
        <v>62</v>
      </c>
      <c r="I59" s="14" t="n">
        <f aca="false">F59-H59</f>
        <v>-0.950000000000003</v>
      </c>
      <c r="J59" s="16" t="n">
        <f aca="false">IFERROR(I59/H59,0)</f>
        <v>-0.0153225806451613</v>
      </c>
    </row>
    <row r="60" customFormat="false" ht="15" hidden="false" customHeight="false" outlineLevel="0" collapsed="false">
      <c r="A60" s="12" t="n">
        <f aca="false">Claims_Data!A60</f>
        <v>100059</v>
      </c>
      <c r="B60" s="12" t="str">
        <f aca="false">Claims_Data!E60</f>
        <v>99203</v>
      </c>
      <c r="C60" s="12" t="str">
        <f aca="false">Claims_Data!D60</f>
        <v>Commercial - Blue Shield</v>
      </c>
      <c r="D60" s="12" t="str">
        <f aca="false">Claims_Data!J60</f>
        <v>Denied</v>
      </c>
      <c r="E60" s="13" t="n">
        <f aca="false">Claims_Data!G60</f>
        <v>178.23</v>
      </c>
      <c r="F60" s="13" t="n">
        <f aca="false">Claims_Data!H60</f>
        <v>0</v>
      </c>
      <c r="G60" s="7" t="str">
        <f aca="false">VLOOKUP(C60,Reimbursement_Rates!$A$18:$B$22,2,FALSE())</f>
        <v>Commercial_Rate</v>
      </c>
      <c r="H60" s="14" t="n">
        <f aca="false">INDEX(Reimbursement_Rates!$A$1:$G$11,MATCH(B60,Reimbursement_Rates!$A$1:$A$11,0),MATCH(G60,Reimbursement_Rates!$A$1:$G$1,0))</f>
        <v>145</v>
      </c>
      <c r="I60" s="14" t="n">
        <f aca="false">F60-H60</f>
        <v>-145</v>
      </c>
      <c r="J60" s="16" t="n">
        <f aca="false">IFERROR(I60/H60,0)</f>
        <v>-1</v>
      </c>
    </row>
    <row r="61" customFormat="false" ht="15" hidden="false" customHeight="false" outlineLevel="0" collapsed="false">
      <c r="A61" s="12" t="n">
        <f aca="false">Claims_Data!A61</f>
        <v>100060</v>
      </c>
      <c r="B61" s="12" t="str">
        <f aca="false">Claims_Data!E61</f>
        <v>99203</v>
      </c>
      <c r="C61" s="12" t="str">
        <f aca="false">Claims_Data!D61</f>
        <v>Commercial - Aetna</v>
      </c>
      <c r="D61" s="12" t="str">
        <f aca="false">Claims_Data!J61</f>
        <v>Paid</v>
      </c>
      <c r="E61" s="13" t="n">
        <f aca="false">Claims_Data!G61</f>
        <v>226.61</v>
      </c>
      <c r="F61" s="13" t="n">
        <f aca="false">Claims_Data!H61</f>
        <v>144.69</v>
      </c>
      <c r="G61" s="7" t="str">
        <f aca="false">VLOOKUP(C61,Reimbursement_Rates!$A$18:$B$22,2,FALSE())</f>
        <v>Commercial_Rate</v>
      </c>
      <c r="H61" s="14" t="n">
        <f aca="false">INDEX(Reimbursement_Rates!$A$1:$G$11,MATCH(B61,Reimbursement_Rates!$A$1:$A$11,0),MATCH(G61,Reimbursement_Rates!$A$1:$G$1,0))</f>
        <v>145</v>
      </c>
      <c r="I61" s="14" t="n">
        <f aca="false">F61-H61</f>
        <v>-0.310000000000002</v>
      </c>
      <c r="J61" s="16" t="n">
        <f aca="false">IFERROR(I61/H61,0)</f>
        <v>-0.00213793103448277</v>
      </c>
    </row>
    <row r="62" customFormat="false" ht="15" hidden="false" customHeight="false" outlineLevel="0" collapsed="false">
      <c r="A62" s="12" t="n">
        <f aca="false">Claims_Data!A62</f>
        <v>100061</v>
      </c>
      <c r="B62" s="12" t="str">
        <f aca="false">Claims_Data!E62</f>
        <v>93000</v>
      </c>
      <c r="C62" s="12" t="str">
        <f aca="false">Claims_Data!D62</f>
        <v>Commercial - Aetna</v>
      </c>
      <c r="D62" s="12" t="str">
        <f aca="false">Claims_Data!J62</f>
        <v>Paid</v>
      </c>
      <c r="E62" s="13" t="n">
        <f aca="false">Claims_Data!G62</f>
        <v>59.05</v>
      </c>
      <c r="F62" s="13" t="n">
        <f aca="false">Claims_Data!H62</f>
        <v>43.1</v>
      </c>
      <c r="G62" s="7" t="str">
        <f aca="false">VLOOKUP(C62,Reimbursement_Rates!$A$18:$B$22,2,FALSE())</f>
        <v>Commercial_Rate</v>
      </c>
      <c r="H62" s="14" t="n">
        <f aca="false">INDEX(Reimbursement_Rates!$A$1:$G$11,MATCH(B62,Reimbursement_Rates!$A$1:$A$11,0),MATCH(G62,Reimbursement_Rates!$A$1:$G$1,0))</f>
        <v>44</v>
      </c>
      <c r="I62" s="14" t="n">
        <f aca="false">F62-H62</f>
        <v>-0.899999999999999</v>
      </c>
      <c r="J62" s="16" t="n">
        <f aca="false">IFERROR(I62/H62,0)</f>
        <v>-0.0204545454545454</v>
      </c>
    </row>
    <row r="63" customFormat="false" ht="15" hidden="false" customHeight="false" outlineLevel="0" collapsed="false">
      <c r="A63" s="12" t="n">
        <f aca="false">Claims_Data!A63</f>
        <v>100062</v>
      </c>
      <c r="B63" s="12" t="str">
        <f aca="false">Claims_Data!E63</f>
        <v>99203</v>
      </c>
      <c r="C63" s="12" t="str">
        <f aca="false">Claims_Data!D63</f>
        <v>Kaiser HMO</v>
      </c>
      <c r="D63" s="12" t="str">
        <f aca="false">Claims_Data!J63</f>
        <v>Paid</v>
      </c>
      <c r="E63" s="13" t="n">
        <f aca="false">Claims_Data!G63</f>
        <v>183.35</v>
      </c>
      <c r="F63" s="13" t="n">
        <f aca="false">Claims_Data!H63</f>
        <v>95.63</v>
      </c>
      <c r="G63" s="7" t="str">
        <f aca="false">VLOOKUP(C63,Reimbursement_Rates!$A$18:$B$22,2,FALSE())</f>
        <v>Kaiser_HMO_Rate</v>
      </c>
      <c r="H63" s="14" t="n">
        <f aca="false">INDEX(Reimbursement_Rates!$A$1:$G$11,MATCH(B63,Reimbursement_Rates!$A$1:$A$11,0),MATCH(G63,Reimbursement_Rates!$A$1:$G$1,0))</f>
        <v>120</v>
      </c>
      <c r="I63" s="14" t="n">
        <f aca="false">F63-H63</f>
        <v>-24.37</v>
      </c>
      <c r="J63" s="16" t="n">
        <f aca="false">IFERROR(I63/H63,0)</f>
        <v>-0.203083333333333</v>
      </c>
    </row>
    <row r="64" customFormat="false" ht="15" hidden="false" customHeight="false" outlineLevel="0" collapsed="false">
      <c r="A64" s="12" t="n">
        <f aca="false">Claims_Data!A64</f>
        <v>100063</v>
      </c>
      <c r="B64" s="12" t="str">
        <f aca="false">Claims_Data!E64</f>
        <v>99214</v>
      </c>
      <c r="C64" s="12" t="str">
        <f aca="false">Claims_Data!D64</f>
        <v>Commercial - Blue Shield</v>
      </c>
      <c r="D64" s="12" t="str">
        <f aca="false">Claims_Data!J64</f>
        <v>Paid</v>
      </c>
      <c r="E64" s="13" t="n">
        <f aca="false">Claims_Data!G64</f>
        <v>242.73</v>
      </c>
      <c r="F64" s="13" t="n">
        <f aca="false">Claims_Data!H64</f>
        <v>168.89</v>
      </c>
      <c r="G64" s="7" t="str">
        <f aca="false">VLOOKUP(C64,Reimbursement_Rates!$A$18:$B$22,2,FALSE())</f>
        <v>Commercial_Rate</v>
      </c>
      <c r="H64" s="14" t="n">
        <f aca="false">INDEX(Reimbursement_Rates!$A$1:$G$11,MATCH(B64,Reimbursement_Rates!$A$1:$A$11,0),MATCH(G64,Reimbursement_Rates!$A$1:$G$1,0))</f>
        <v>165</v>
      </c>
      <c r="I64" s="14" t="n">
        <f aca="false">F64-H64</f>
        <v>3.88999999999999</v>
      </c>
      <c r="J64" s="16" t="n">
        <f aca="false">IFERROR(I64/H64,0)</f>
        <v>0.0235757575757575</v>
      </c>
    </row>
    <row r="65" customFormat="false" ht="15" hidden="false" customHeight="false" outlineLevel="0" collapsed="false">
      <c r="A65" s="12" t="n">
        <f aca="false">Claims_Data!A65</f>
        <v>100064</v>
      </c>
      <c r="B65" s="12" t="str">
        <f aca="false">Claims_Data!E65</f>
        <v>99203</v>
      </c>
      <c r="C65" s="12" t="str">
        <f aca="false">Claims_Data!D65</f>
        <v>Medicaid</v>
      </c>
      <c r="D65" s="12" t="str">
        <f aca="false">Claims_Data!J65</f>
        <v>Paid</v>
      </c>
      <c r="E65" s="13" t="n">
        <f aca="false">Claims_Data!G65</f>
        <v>97.86</v>
      </c>
      <c r="F65" s="13" t="n">
        <f aca="false">Claims_Data!H65</f>
        <v>73.62</v>
      </c>
      <c r="G65" s="7" t="str">
        <f aca="false">VLOOKUP(C65,Reimbursement_Rates!$A$18:$B$22,2,FALSE())</f>
        <v>Medicaid_Rate</v>
      </c>
      <c r="H65" s="14" t="n">
        <f aca="false">INDEX(Reimbursement_Rates!$A$1:$G$11,MATCH(B65,Reimbursement_Rates!$A$1:$A$11,0),MATCH(G65,Reimbursement_Rates!$A$1:$G$1,0))</f>
        <v>74</v>
      </c>
      <c r="I65" s="14" t="n">
        <f aca="false">F65-H65</f>
        <v>-0.379999999999995</v>
      </c>
      <c r="J65" s="16" t="n">
        <f aca="false">IFERROR(I65/H65,0)</f>
        <v>-0.00513513513513507</v>
      </c>
    </row>
    <row r="66" customFormat="false" ht="15" hidden="false" customHeight="false" outlineLevel="0" collapsed="false">
      <c r="A66" s="12" t="n">
        <f aca="false">Claims_Data!A66</f>
        <v>100065</v>
      </c>
      <c r="B66" s="12" t="str">
        <f aca="false">Claims_Data!E66</f>
        <v>99213</v>
      </c>
      <c r="C66" s="12" t="str">
        <f aca="false">Claims_Data!D66</f>
        <v>Commercial - Blue Shield</v>
      </c>
      <c r="D66" s="12" t="str">
        <f aca="false">Claims_Data!J66</f>
        <v>Paid</v>
      </c>
      <c r="E66" s="13" t="n">
        <f aca="false">Claims_Data!G66</f>
        <v>146.68</v>
      </c>
      <c r="F66" s="13" t="n">
        <f aca="false">Claims_Data!H66</f>
        <v>134.24</v>
      </c>
      <c r="G66" s="7" t="str">
        <f aca="false">VLOOKUP(C66,Reimbursement_Rates!$A$18:$B$22,2,FALSE())</f>
        <v>Commercial_Rate</v>
      </c>
      <c r="H66" s="14" t="n">
        <f aca="false">INDEX(Reimbursement_Rates!$A$1:$G$11,MATCH(B66,Reimbursement_Rates!$A$1:$A$11,0),MATCH(G66,Reimbursement_Rates!$A$1:$G$1,0))</f>
        <v>118</v>
      </c>
      <c r="I66" s="14" t="n">
        <f aca="false">F66-H66</f>
        <v>16.24</v>
      </c>
      <c r="J66" s="16" t="n">
        <f aca="false">IFERROR(I66/H66,0)</f>
        <v>0.137627118644068</v>
      </c>
    </row>
    <row r="67" customFormat="false" ht="15" hidden="false" customHeight="false" outlineLevel="0" collapsed="false">
      <c r="A67" s="12" t="n">
        <f aca="false">Claims_Data!A67</f>
        <v>100066</v>
      </c>
      <c r="B67" s="12" t="str">
        <f aca="false">Claims_Data!E67</f>
        <v>99213</v>
      </c>
      <c r="C67" s="12" t="str">
        <f aca="false">Claims_Data!D67</f>
        <v>Commercial - Blue Shield</v>
      </c>
      <c r="D67" s="12" t="str">
        <f aca="false">Claims_Data!J67</f>
        <v>Paid</v>
      </c>
      <c r="E67" s="13" t="n">
        <f aca="false">Claims_Data!G67</f>
        <v>185.76</v>
      </c>
      <c r="F67" s="13" t="n">
        <f aca="false">Claims_Data!H67</f>
        <v>120.77</v>
      </c>
      <c r="G67" s="7" t="str">
        <f aca="false">VLOOKUP(C67,Reimbursement_Rates!$A$18:$B$22,2,FALSE())</f>
        <v>Commercial_Rate</v>
      </c>
      <c r="H67" s="14" t="n">
        <f aca="false">INDEX(Reimbursement_Rates!$A$1:$G$11,MATCH(B67,Reimbursement_Rates!$A$1:$A$11,0),MATCH(G67,Reimbursement_Rates!$A$1:$G$1,0))</f>
        <v>118</v>
      </c>
      <c r="I67" s="14" t="n">
        <f aca="false">F67-H67</f>
        <v>2.77</v>
      </c>
      <c r="J67" s="16" t="n">
        <f aca="false">IFERROR(I67/H67,0)</f>
        <v>0.0234745762711864</v>
      </c>
    </row>
    <row r="68" customFormat="false" ht="15" hidden="false" customHeight="false" outlineLevel="0" collapsed="false">
      <c r="A68" s="12" t="n">
        <f aca="false">Claims_Data!A68</f>
        <v>100067</v>
      </c>
      <c r="B68" s="12" t="str">
        <f aca="false">Claims_Data!E68</f>
        <v>99203</v>
      </c>
      <c r="C68" s="12" t="str">
        <f aca="false">Claims_Data!D68</f>
        <v>Commercial - Blue Shield</v>
      </c>
      <c r="D68" s="12" t="str">
        <f aca="false">Claims_Data!J68</f>
        <v>Paid</v>
      </c>
      <c r="E68" s="13" t="n">
        <f aca="false">Claims_Data!G68</f>
        <v>184.56</v>
      </c>
      <c r="F68" s="13" t="n">
        <f aca="false">Claims_Data!H68</f>
        <v>146.47</v>
      </c>
      <c r="G68" s="7" t="str">
        <f aca="false">VLOOKUP(C68,Reimbursement_Rates!$A$18:$B$22,2,FALSE())</f>
        <v>Commercial_Rate</v>
      </c>
      <c r="H68" s="14" t="n">
        <f aca="false">INDEX(Reimbursement_Rates!$A$1:$G$11,MATCH(B68,Reimbursement_Rates!$A$1:$A$11,0),MATCH(G68,Reimbursement_Rates!$A$1:$G$1,0))</f>
        <v>145</v>
      </c>
      <c r="I68" s="14" t="n">
        <f aca="false">F68-H68</f>
        <v>1.47</v>
      </c>
      <c r="J68" s="16" t="n">
        <f aca="false">IFERROR(I68/H68,0)</f>
        <v>0.0101379310344828</v>
      </c>
    </row>
    <row r="69" customFormat="false" ht="15" hidden="false" customHeight="false" outlineLevel="0" collapsed="false">
      <c r="A69" s="12" t="n">
        <f aca="false">Claims_Data!A69</f>
        <v>100068</v>
      </c>
      <c r="B69" s="12" t="str">
        <f aca="false">Claims_Data!E69</f>
        <v>99215</v>
      </c>
      <c r="C69" s="12" t="str">
        <f aca="false">Claims_Data!D69</f>
        <v>Commercial - Blue Shield</v>
      </c>
      <c r="D69" s="12" t="str">
        <f aca="false">Claims_Data!J69</f>
        <v>Paid</v>
      </c>
      <c r="E69" s="13" t="n">
        <f aca="false">Claims_Data!G69</f>
        <v>375.55</v>
      </c>
      <c r="F69" s="13" t="n">
        <f aca="false">Claims_Data!H69</f>
        <v>268.75</v>
      </c>
      <c r="G69" s="7" t="str">
        <f aca="false">VLOOKUP(C69,Reimbursement_Rates!$A$18:$B$22,2,FALSE())</f>
        <v>Commercial_Rate</v>
      </c>
      <c r="H69" s="14" t="n">
        <f aca="false">INDEX(Reimbursement_Rates!$A$1:$G$11,MATCH(B69,Reimbursement_Rates!$A$1:$A$11,0),MATCH(G69,Reimbursement_Rates!$A$1:$G$1,0))</f>
        <v>236</v>
      </c>
      <c r="I69" s="14" t="n">
        <f aca="false">F69-H69</f>
        <v>32.75</v>
      </c>
      <c r="J69" s="16" t="n">
        <f aca="false">IFERROR(I69/H69,0)</f>
        <v>0.138771186440678</v>
      </c>
    </row>
    <row r="70" customFormat="false" ht="15" hidden="false" customHeight="false" outlineLevel="0" collapsed="false">
      <c r="A70" s="12" t="n">
        <f aca="false">Claims_Data!A70</f>
        <v>100069</v>
      </c>
      <c r="B70" s="12" t="str">
        <f aca="false">Claims_Data!E70</f>
        <v>99215</v>
      </c>
      <c r="C70" s="12" t="str">
        <f aca="false">Claims_Data!D70</f>
        <v>Commercial - Blue Shield</v>
      </c>
      <c r="D70" s="12" t="str">
        <f aca="false">Claims_Data!J70</f>
        <v>Paid</v>
      </c>
      <c r="E70" s="13" t="n">
        <f aca="false">Claims_Data!G70</f>
        <v>363.46</v>
      </c>
      <c r="F70" s="13" t="n">
        <f aca="false">Claims_Data!H70</f>
        <v>233.56</v>
      </c>
      <c r="G70" s="7" t="str">
        <f aca="false">VLOOKUP(C70,Reimbursement_Rates!$A$18:$B$22,2,FALSE())</f>
        <v>Commercial_Rate</v>
      </c>
      <c r="H70" s="14" t="n">
        <f aca="false">INDEX(Reimbursement_Rates!$A$1:$G$11,MATCH(B70,Reimbursement_Rates!$A$1:$A$11,0),MATCH(G70,Reimbursement_Rates!$A$1:$G$1,0))</f>
        <v>236</v>
      </c>
      <c r="I70" s="14" t="n">
        <f aca="false">F70-H70</f>
        <v>-2.44</v>
      </c>
      <c r="J70" s="16" t="n">
        <f aca="false">IFERROR(I70/H70,0)</f>
        <v>-0.0103389830508474</v>
      </c>
    </row>
    <row r="71" customFormat="false" ht="15" hidden="false" customHeight="false" outlineLevel="0" collapsed="false">
      <c r="A71" s="12" t="n">
        <f aca="false">Claims_Data!A71</f>
        <v>100070</v>
      </c>
      <c r="B71" s="12" t="str">
        <f aca="false">Claims_Data!E71</f>
        <v>36415</v>
      </c>
      <c r="C71" s="12" t="str">
        <f aca="false">Claims_Data!D71</f>
        <v>Kaiser HMO</v>
      </c>
      <c r="D71" s="12" t="str">
        <f aca="false">Claims_Data!J71</f>
        <v>Denied</v>
      </c>
      <c r="E71" s="13" t="n">
        <f aca="false">Claims_Data!G71</f>
        <v>16.58</v>
      </c>
      <c r="F71" s="13" t="n">
        <f aca="false">Claims_Data!H71</f>
        <v>0</v>
      </c>
      <c r="G71" s="7" t="str">
        <f aca="false">VLOOKUP(C71,Reimbursement_Rates!$A$18:$B$22,2,FALSE())</f>
        <v>Kaiser_HMO_Rate</v>
      </c>
      <c r="H71" s="14" t="n">
        <f aca="false">INDEX(Reimbursement_Rates!$A$1:$G$11,MATCH(B71,Reimbursement_Rates!$A$1:$A$11,0),MATCH(G71,Reimbursement_Rates!$A$1:$G$1,0))</f>
        <v>13</v>
      </c>
      <c r="I71" s="14" t="n">
        <f aca="false">F71-H71</f>
        <v>-13</v>
      </c>
      <c r="J71" s="16" t="n">
        <f aca="false">IFERROR(I71/H71,0)</f>
        <v>-1</v>
      </c>
    </row>
    <row r="72" customFormat="false" ht="15" hidden="false" customHeight="false" outlineLevel="0" collapsed="false">
      <c r="A72" s="12" t="n">
        <f aca="false">Claims_Data!A72</f>
        <v>100071</v>
      </c>
      <c r="B72" s="12" t="str">
        <f aca="false">Claims_Data!E72</f>
        <v>99213</v>
      </c>
      <c r="C72" s="12" t="str">
        <f aca="false">Claims_Data!D72</f>
        <v>Commercial - Blue Shield</v>
      </c>
      <c r="D72" s="12" t="str">
        <f aca="false">Claims_Data!J72</f>
        <v>Paid</v>
      </c>
      <c r="E72" s="13" t="n">
        <f aca="false">Claims_Data!G72</f>
        <v>175.47</v>
      </c>
      <c r="F72" s="13" t="n">
        <f aca="false">Claims_Data!H72</f>
        <v>127.87</v>
      </c>
      <c r="G72" s="7" t="str">
        <f aca="false">VLOOKUP(C72,Reimbursement_Rates!$A$18:$B$22,2,FALSE())</f>
        <v>Commercial_Rate</v>
      </c>
      <c r="H72" s="14" t="n">
        <f aca="false">INDEX(Reimbursement_Rates!$A$1:$G$11,MATCH(B72,Reimbursement_Rates!$A$1:$A$11,0),MATCH(G72,Reimbursement_Rates!$A$1:$G$1,0))</f>
        <v>118</v>
      </c>
      <c r="I72" s="14" t="n">
        <f aca="false">F72-H72</f>
        <v>9.87000000000001</v>
      </c>
      <c r="J72" s="16" t="n">
        <f aca="false">IFERROR(I72/H72,0)</f>
        <v>0.0836440677966102</v>
      </c>
    </row>
    <row r="73" customFormat="false" ht="15" hidden="false" customHeight="false" outlineLevel="0" collapsed="false">
      <c r="A73" s="12" t="n">
        <f aca="false">Claims_Data!A73</f>
        <v>100072</v>
      </c>
      <c r="B73" s="12" t="str">
        <f aca="false">Claims_Data!E73</f>
        <v>99203</v>
      </c>
      <c r="C73" s="12" t="str">
        <f aca="false">Claims_Data!D73</f>
        <v>Medicare</v>
      </c>
      <c r="D73" s="12" t="str">
        <f aca="false">Claims_Data!J73</f>
        <v>Paid</v>
      </c>
      <c r="E73" s="13" t="n">
        <f aca="false">Claims_Data!G73</f>
        <v>138.85</v>
      </c>
      <c r="F73" s="13" t="n">
        <f aca="false">Claims_Data!H73</f>
        <v>109.49</v>
      </c>
      <c r="G73" s="7" t="str">
        <f aca="false">VLOOKUP(C73,Reimbursement_Rates!$A$18:$B$22,2,FALSE())</f>
        <v>Medicare_Rate</v>
      </c>
      <c r="H73" s="14" t="n">
        <f aca="false">INDEX(Reimbursement_Rates!$A$1:$G$11,MATCH(B73,Reimbursement_Rates!$A$1:$A$11,0),MATCH(G73,Reimbursement_Rates!$A$1:$G$1,0))</f>
        <v>112</v>
      </c>
      <c r="I73" s="14" t="n">
        <f aca="false">F73-H73</f>
        <v>-2.51000000000001</v>
      </c>
      <c r="J73" s="16" t="n">
        <f aca="false">IFERROR(I73/H73,0)</f>
        <v>-0.0224107142857143</v>
      </c>
    </row>
    <row r="74" customFormat="false" ht="15" hidden="false" customHeight="false" outlineLevel="0" collapsed="false">
      <c r="A74" s="12" t="n">
        <f aca="false">Claims_Data!A74</f>
        <v>100073</v>
      </c>
      <c r="B74" s="12" t="str">
        <f aca="false">Claims_Data!E74</f>
        <v>99204</v>
      </c>
      <c r="C74" s="12" t="str">
        <f aca="false">Claims_Data!D74</f>
        <v>Commercial - Blue Shield</v>
      </c>
      <c r="D74" s="12" t="str">
        <f aca="false">Claims_Data!J74</f>
        <v>Paid</v>
      </c>
      <c r="E74" s="13" t="n">
        <f aca="false">Claims_Data!G74</f>
        <v>343.87</v>
      </c>
      <c r="F74" s="13" t="n">
        <f aca="false">Claims_Data!H74</f>
        <v>233.42</v>
      </c>
      <c r="G74" s="7" t="str">
        <f aca="false">VLOOKUP(C74,Reimbursement_Rates!$A$18:$B$22,2,FALSE())</f>
        <v>Commercial_Rate</v>
      </c>
      <c r="H74" s="14" t="n">
        <f aca="false">INDEX(Reimbursement_Rates!$A$1:$G$11,MATCH(B74,Reimbursement_Rates!$A$1:$A$11,0),MATCH(G74,Reimbursement_Rates!$A$1:$G$1,0))</f>
        <v>230</v>
      </c>
      <c r="I74" s="14" t="n">
        <f aca="false">F74-H74</f>
        <v>3.41999999999999</v>
      </c>
      <c r="J74" s="16" t="n">
        <f aca="false">IFERROR(I74/H74,0)</f>
        <v>0.0148695652173913</v>
      </c>
    </row>
    <row r="75" customFormat="false" ht="15" hidden="false" customHeight="false" outlineLevel="0" collapsed="false">
      <c r="A75" s="12" t="n">
        <f aca="false">Claims_Data!A75</f>
        <v>100074</v>
      </c>
      <c r="B75" s="12" t="str">
        <f aca="false">Claims_Data!E75</f>
        <v>99214</v>
      </c>
      <c r="C75" s="12" t="str">
        <f aca="false">Claims_Data!D75</f>
        <v>Kaiser HMO</v>
      </c>
      <c r="D75" s="12" t="str">
        <f aca="false">Claims_Data!J75</f>
        <v>Denied</v>
      </c>
      <c r="E75" s="13" t="n">
        <f aca="false">Claims_Data!G75</f>
        <v>193.23</v>
      </c>
      <c r="F75" s="13" t="n">
        <f aca="false">Claims_Data!H75</f>
        <v>0</v>
      </c>
      <c r="G75" s="7" t="str">
        <f aca="false">VLOOKUP(C75,Reimbursement_Rates!$A$18:$B$22,2,FALSE())</f>
        <v>Kaiser_HMO_Rate</v>
      </c>
      <c r="H75" s="14" t="n">
        <f aca="false">INDEX(Reimbursement_Rates!$A$1:$G$11,MATCH(B75,Reimbursement_Rates!$A$1:$A$11,0),MATCH(G75,Reimbursement_Rates!$A$1:$G$1,0))</f>
        <v>137</v>
      </c>
      <c r="I75" s="14" t="n">
        <f aca="false">F75-H75</f>
        <v>-137</v>
      </c>
      <c r="J75" s="16" t="n">
        <f aca="false">IFERROR(I75/H75,0)</f>
        <v>-1</v>
      </c>
    </row>
    <row r="76" customFormat="false" ht="15" hidden="false" customHeight="false" outlineLevel="0" collapsed="false">
      <c r="A76" s="12" t="n">
        <f aca="false">Claims_Data!A76</f>
        <v>100075</v>
      </c>
      <c r="B76" s="12" t="str">
        <f aca="false">Claims_Data!E76</f>
        <v>99214</v>
      </c>
      <c r="C76" s="12" t="str">
        <f aca="false">Claims_Data!D76</f>
        <v>Medicaid</v>
      </c>
      <c r="D76" s="12" t="str">
        <f aca="false">Claims_Data!J76</f>
        <v>Paid</v>
      </c>
      <c r="E76" s="13" t="n">
        <f aca="false">Claims_Data!G76</f>
        <v>118.98</v>
      </c>
      <c r="F76" s="13" t="n">
        <f aca="false">Claims_Data!H76</f>
        <v>84.99</v>
      </c>
      <c r="G76" s="7" t="str">
        <f aca="false">VLOOKUP(C76,Reimbursement_Rates!$A$18:$B$22,2,FALSE())</f>
        <v>Medicaid_Rate</v>
      </c>
      <c r="H76" s="14" t="n">
        <f aca="false">INDEX(Reimbursement_Rates!$A$1:$G$11,MATCH(B76,Reimbursement_Rates!$A$1:$A$11,0),MATCH(G76,Reimbursement_Rates!$A$1:$G$1,0))</f>
        <v>84</v>
      </c>
      <c r="I76" s="14" t="n">
        <f aca="false">F76-H76</f>
        <v>0.989999999999995</v>
      </c>
      <c r="J76" s="16" t="n">
        <f aca="false">IFERROR(I76/H76,0)</f>
        <v>0.0117857142857142</v>
      </c>
    </row>
    <row r="77" customFormat="false" ht="15" hidden="false" customHeight="false" outlineLevel="0" collapsed="false">
      <c r="A77" s="12" t="n">
        <f aca="false">Claims_Data!A77</f>
        <v>100076</v>
      </c>
      <c r="B77" s="12" t="str">
        <f aca="false">Claims_Data!E77</f>
        <v>99213</v>
      </c>
      <c r="C77" s="12" t="str">
        <f aca="false">Claims_Data!D77</f>
        <v>Commercial - Aetna</v>
      </c>
      <c r="D77" s="12" t="str">
        <f aca="false">Claims_Data!J77</f>
        <v>Paid</v>
      </c>
      <c r="E77" s="13" t="n">
        <f aca="false">Claims_Data!G77</f>
        <v>154.14</v>
      </c>
      <c r="F77" s="13" t="n">
        <f aca="false">Claims_Data!H77</f>
        <v>118.04</v>
      </c>
      <c r="G77" s="7" t="str">
        <f aca="false">VLOOKUP(C77,Reimbursement_Rates!$A$18:$B$22,2,FALSE())</f>
        <v>Commercial_Rate</v>
      </c>
      <c r="H77" s="14" t="n">
        <f aca="false">INDEX(Reimbursement_Rates!$A$1:$G$11,MATCH(B77,Reimbursement_Rates!$A$1:$A$11,0),MATCH(G77,Reimbursement_Rates!$A$1:$G$1,0))</f>
        <v>118</v>
      </c>
      <c r="I77" s="14" t="n">
        <f aca="false">F77-H77</f>
        <v>0.0400000000000063</v>
      </c>
      <c r="J77" s="16" t="n">
        <f aca="false">IFERROR(I77/H77,0)</f>
        <v>0.000338983050847511</v>
      </c>
    </row>
    <row r="78" customFormat="false" ht="15" hidden="false" customHeight="false" outlineLevel="0" collapsed="false">
      <c r="A78" s="12" t="n">
        <f aca="false">Claims_Data!A78</f>
        <v>100077</v>
      </c>
      <c r="B78" s="12" t="str">
        <f aca="false">Claims_Data!E78</f>
        <v>80053</v>
      </c>
      <c r="C78" s="12" t="str">
        <f aca="false">Claims_Data!D78</f>
        <v>Commercial - Blue Shield</v>
      </c>
      <c r="D78" s="12" t="str">
        <f aca="false">Claims_Data!J78</f>
        <v>Denied</v>
      </c>
      <c r="E78" s="13" t="n">
        <f aca="false">Claims_Data!G78</f>
        <v>32.33</v>
      </c>
      <c r="F78" s="13" t="n">
        <f aca="false">Claims_Data!H78</f>
        <v>0</v>
      </c>
      <c r="G78" s="7" t="str">
        <f aca="false">VLOOKUP(C78,Reimbursement_Rates!$A$18:$B$22,2,FALSE())</f>
        <v>Commercial_Rate</v>
      </c>
      <c r="H78" s="14" t="n">
        <f aca="false">INDEX(Reimbursement_Rates!$A$1:$G$11,MATCH(B78,Reimbursement_Rates!$A$1:$A$11,0),MATCH(G78,Reimbursement_Rates!$A$1:$G$1,0))</f>
        <v>27</v>
      </c>
      <c r="I78" s="14" t="n">
        <f aca="false">F78-H78</f>
        <v>-27</v>
      </c>
      <c r="J78" s="16" t="n">
        <f aca="false">IFERROR(I78/H78,0)</f>
        <v>-1</v>
      </c>
    </row>
    <row r="79" customFormat="false" ht="15" hidden="false" customHeight="false" outlineLevel="0" collapsed="false">
      <c r="A79" s="12" t="n">
        <f aca="false">Claims_Data!A79</f>
        <v>100078</v>
      </c>
      <c r="B79" s="12" t="str">
        <f aca="false">Claims_Data!E79</f>
        <v>93000</v>
      </c>
      <c r="C79" s="12" t="str">
        <f aca="false">Claims_Data!D79</f>
        <v>Medicaid</v>
      </c>
      <c r="D79" s="12" t="str">
        <f aca="false">Claims_Data!J79</f>
        <v>Paid</v>
      </c>
      <c r="E79" s="13" t="n">
        <f aca="false">Claims_Data!G79</f>
        <v>34.86</v>
      </c>
      <c r="F79" s="13" t="n">
        <f aca="false">Claims_Data!H79</f>
        <v>17.77</v>
      </c>
      <c r="G79" s="7" t="str">
        <f aca="false">VLOOKUP(C79,Reimbursement_Rates!$A$18:$B$22,2,FALSE())</f>
        <v>Medicaid_Rate</v>
      </c>
      <c r="H79" s="14" t="n">
        <f aca="false">INDEX(Reimbursement_Rates!$A$1:$G$11,MATCH(B79,Reimbursement_Rates!$A$1:$A$11,0),MATCH(G79,Reimbursement_Rates!$A$1:$G$1,0))</f>
        <v>22</v>
      </c>
      <c r="I79" s="14" t="n">
        <f aca="false">F79-H79</f>
        <v>-4.23</v>
      </c>
      <c r="J79" s="16" t="n">
        <f aca="false">IFERROR(I79/H79,0)</f>
        <v>-0.192272727272727</v>
      </c>
    </row>
    <row r="80" customFormat="false" ht="15" hidden="false" customHeight="false" outlineLevel="0" collapsed="false">
      <c r="A80" s="12" t="n">
        <f aca="false">Claims_Data!A80</f>
        <v>100079</v>
      </c>
      <c r="B80" s="12" t="str">
        <f aca="false">Claims_Data!E80</f>
        <v>71046</v>
      </c>
      <c r="C80" s="12" t="str">
        <f aca="false">Claims_Data!D80</f>
        <v>Commercial - Blue Shield</v>
      </c>
      <c r="D80" s="12" t="str">
        <f aca="false">Claims_Data!J80</f>
        <v>Paid</v>
      </c>
      <c r="E80" s="13" t="n">
        <f aca="false">Claims_Data!G80</f>
        <v>78.79</v>
      </c>
      <c r="F80" s="13" t="n">
        <f aca="false">Claims_Data!H80</f>
        <v>44.47</v>
      </c>
      <c r="G80" s="7" t="str">
        <f aca="false">VLOOKUP(C80,Reimbursement_Rates!$A$18:$B$22,2,FALSE())</f>
        <v>Commercial_Rate</v>
      </c>
      <c r="H80" s="14" t="n">
        <f aca="false">INDEX(Reimbursement_Rates!$A$1:$G$11,MATCH(B80,Reimbursement_Rates!$A$1:$A$11,0),MATCH(G80,Reimbursement_Rates!$A$1:$G$1,0))</f>
        <v>62</v>
      </c>
      <c r="I80" s="14" t="n">
        <f aca="false">F80-H80</f>
        <v>-17.53</v>
      </c>
      <c r="J80" s="16" t="n">
        <f aca="false">IFERROR(I80/H80,0)</f>
        <v>-0.282741935483871</v>
      </c>
    </row>
    <row r="81" customFormat="false" ht="15" hidden="false" customHeight="false" outlineLevel="0" collapsed="false">
      <c r="A81" s="12" t="n">
        <f aca="false">Claims_Data!A81</f>
        <v>100080</v>
      </c>
      <c r="B81" s="12" t="str">
        <f aca="false">Claims_Data!E81</f>
        <v>71046</v>
      </c>
      <c r="C81" s="12" t="str">
        <f aca="false">Claims_Data!D81</f>
        <v>Commercial - Blue Shield</v>
      </c>
      <c r="D81" s="12" t="str">
        <f aca="false">Claims_Data!J81</f>
        <v>Paid</v>
      </c>
      <c r="E81" s="13" t="n">
        <f aca="false">Claims_Data!G81</f>
        <v>88.33</v>
      </c>
      <c r="F81" s="13" t="n">
        <f aca="false">Claims_Data!H81</f>
        <v>63.31</v>
      </c>
      <c r="G81" s="7" t="str">
        <f aca="false">VLOOKUP(C81,Reimbursement_Rates!$A$18:$B$22,2,FALSE())</f>
        <v>Commercial_Rate</v>
      </c>
      <c r="H81" s="14" t="n">
        <f aca="false">INDEX(Reimbursement_Rates!$A$1:$G$11,MATCH(B81,Reimbursement_Rates!$A$1:$A$11,0),MATCH(G81,Reimbursement_Rates!$A$1:$G$1,0))</f>
        <v>62</v>
      </c>
      <c r="I81" s="14" t="n">
        <f aca="false">F81-H81</f>
        <v>1.31</v>
      </c>
      <c r="J81" s="16" t="n">
        <f aca="false">IFERROR(I81/H81,0)</f>
        <v>0.0211290322580646</v>
      </c>
    </row>
    <row r="82" customFormat="false" ht="15" hidden="false" customHeight="false" outlineLevel="0" collapsed="false">
      <c r="A82" s="12" t="n">
        <f aca="false">Claims_Data!A82</f>
        <v>100081</v>
      </c>
      <c r="B82" s="12" t="str">
        <f aca="false">Claims_Data!E82</f>
        <v>90935</v>
      </c>
      <c r="C82" s="12" t="str">
        <f aca="false">Claims_Data!D82</f>
        <v>Medicaid</v>
      </c>
      <c r="D82" s="12" t="str">
        <f aca="false">Claims_Data!J82</f>
        <v>Paid</v>
      </c>
      <c r="E82" s="13" t="n">
        <f aca="false">Claims_Data!G82</f>
        <v>144.87</v>
      </c>
      <c r="F82" s="13" t="n">
        <f aca="false">Claims_Data!H82</f>
        <v>110.9</v>
      </c>
      <c r="G82" s="7" t="str">
        <f aca="false">VLOOKUP(C82,Reimbursement_Rates!$A$18:$B$22,2,FALSE())</f>
        <v>Medicaid_Rate</v>
      </c>
      <c r="H82" s="14" t="n">
        <f aca="false">INDEX(Reimbursement_Rates!$A$1:$G$11,MATCH(B82,Reimbursement_Rates!$A$1:$A$11,0),MATCH(G82,Reimbursement_Rates!$A$1:$G$1,0))</f>
        <v>96</v>
      </c>
      <c r="I82" s="14" t="n">
        <f aca="false">F82-H82</f>
        <v>14.9</v>
      </c>
      <c r="J82" s="16" t="n">
        <f aca="false">IFERROR(I82/H82,0)</f>
        <v>0.155208333333333</v>
      </c>
    </row>
    <row r="83" customFormat="false" ht="15" hidden="false" customHeight="false" outlineLevel="0" collapsed="false">
      <c r="A83" s="12" t="n">
        <f aca="false">Claims_Data!A83</f>
        <v>100082</v>
      </c>
      <c r="B83" s="12" t="str">
        <f aca="false">Claims_Data!E83</f>
        <v>99203</v>
      </c>
      <c r="C83" s="12" t="str">
        <f aca="false">Claims_Data!D83</f>
        <v>Commercial - Aetna</v>
      </c>
      <c r="D83" s="12" t="str">
        <f aca="false">Claims_Data!J83</f>
        <v>Paid</v>
      </c>
      <c r="E83" s="13" t="n">
        <f aca="false">Claims_Data!G83</f>
        <v>172.34</v>
      </c>
      <c r="F83" s="13" t="n">
        <f aca="false">Claims_Data!H83</f>
        <v>147.25</v>
      </c>
      <c r="G83" s="7" t="str">
        <f aca="false">VLOOKUP(C83,Reimbursement_Rates!$A$18:$B$22,2,FALSE())</f>
        <v>Commercial_Rate</v>
      </c>
      <c r="H83" s="14" t="n">
        <f aca="false">INDEX(Reimbursement_Rates!$A$1:$G$11,MATCH(B83,Reimbursement_Rates!$A$1:$A$11,0),MATCH(G83,Reimbursement_Rates!$A$1:$G$1,0))</f>
        <v>145</v>
      </c>
      <c r="I83" s="14" t="n">
        <f aca="false">F83-H83</f>
        <v>2.25</v>
      </c>
      <c r="J83" s="16" t="n">
        <f aca="false">IFERROR(I83/H83,0)</f>
        <v>0.0155172413793103</v>
      </c>
    </row>
    <row r="84" customFormat="false" ht="15" hidden="false" customHeight="false" outlineLevel="0" collapsed="false">
      <c r="A84" s="12" t="n">
        <f aca="false">Claims_Data!A84</f>
        <v>100083</v>
      </c>
      <c r="B84" s="12" t="str">
        <f aca="false">Claims_Data!E84</f>
        <v>99213</v>
      </c>
      <c r="C84" s="12" t="str">
        <f aca="false">Claims_Data!D84</f>
        <v>Commercial - Blue Shield</v>
      </c>
      <c r="D84" s="12" t="str">
        <f aca="false">Claims_Data!J84</f>
        <v>Paid</v>
      </c>
      <c r="E84" s="13" t="n">
        <f aca="false">Claims_Data!G84</f>
        <v>140.64</v>
      </c>
      <c r="F84" s="13" t="n">
        <f aca="false">Claims_Data!H84</f>
        <v>89.83</v>
      </c>
      <c r="G84" s="7" t="str">
        <f aca="false">VLOOKUP(C84,Reimbursement_Rates!$A$18:$B$22,2,FALSE())</f>
        <v>Commercial_Rate</v>
      </c>
      <c r="H84" s="14" t="n">
        <f aca="false">INDEX(Reimbursement_Rates!$A$1:$G$11,MATCH(B84,Reimbursement_Rates!$A$1:$A$11,0),MATCH(G84,Reimbursement_Rates!$A$1:$G$1,0))</f>
        <v>118</v>
      </c>
      <c r="I84" s="14" t="n">
        <f aca="false">F84-H84</f>
        <v>-28.17</v>
      </c>
      <c r="J84" s="16" t="n">
        <f aca="false">IFERROR(I84/H84,0)</f>
        <v>-0.238728813559322</v>
      </c>
    </row>
    <row r="85" customFormat="false" ht="15" hidden="false" customHeight="false" outlineLevel="0" collapsed="false">
      <c r="A85" s="12" t="n">
        <f aca="false">Claims_Data!A85</f>
        <v>100084</v>
      </c>
      <c r="B85" s="12" t="str">
        <f aca="false">Claims_Data!E85</f>
        <v>93000</v>
      </c>
      <c r="C85" s="12" t="str">
        <f aca="false">Claims_Data!D85</f>
        <v>Commercial - Aetna</v>
      </c>
      <c r="D85" s="12" t="str">
        <f aca="false">Claims_Data!J85</f>
        <v>Pending</v>
      </c>
      <c r="E85" s="13" t="n">
        <f aca="false">Claims_Data!G85</f>
        <v>57.41</v>
      </c>
      <c r="F85" s="13" t="n">
        <f aca="false">Claims_Data!H85</f>
        <v>0</v>
      </c>
      <c r="G85" s="7" t="str">
        <f aca="false">VLOOKUP(C85,Reimbursement_Rates!$A$18:$B$22,2,FALSE())</f>
        <v>Commercial_Rate</v>
      </c>
      <c r="H85" s="14" t="n">
        <f aca="false">INDEX(Reimbursement_Rates!$A$1:$G$11,MATCH(B85,Reimbursement_Rates!$A$1:$A$11,0),MATCH(G85,Reimbursement_Rates!$A$1:$G$1,0))</f>
        <v>44</v>
      </c>
      <c r="I85" s="14" t="n">
        <f aca="false">F85-H85</f>
        <v>-44</v>
      </c>
      <c r="J85" s="16" t="n">
        <f aca="false">IFERROR(I85/H85,0)</f>
        <v>-1</v>
      </c>
    </row>
    <row r="86" customFormat="false" ht="15" hidden="false" customHeight="false" outlineLevel="0" collapsed="false">
      <c r="A86" s="12" t="n">
        <f aca="false">Claims_Data!A86</f>
        <v>100085</v>
      </c>
      <c r="B86" s="12" t="str">
        <f aca="false">Claims_Data!E86</f>
        <v>99204</v>
      </c>
      <c r="C86" s="12" t="str">
        <f aca="false">Claims_Data!D86</f>
        <v>Commercial - Blue Shield</v>
      </c>
      <c r="D86" s="12" t="str">
        <f aca="false">Claims_Data!J86</f>
        <v>Paid</v>
      </c>
      <c r="E86" s="13" t="n">
        <f aca="false">Claims_Data!G86</f>
        <v>296.24</v>
      </c>
      <c r="F86" s="13" t="n">
        <f aca="false">Claims_Data!H86</f>
        <v>175.52</v>
      </c>
      <c r="G86" s="7" t="str">
        <f aca="false">VLOOKUP(C86,Reimbursement_Rates!$A$18:$B$22,2,FALSE())</f>
        <v>Commercial_Rate</v>
      </c>
      <c r="H86" s="14" t="n">
        <f aca="false">INDEX(Reimbursement_Rates!$A$1:$G$11,MATCH(B86,Reimbursement_Rates!$A$1:$A$11,0),MATCH(G86,Reimbursement_Rates!$A$1:$G$1,0))</f>
        <v>230</v>
      </c>
      <c r="I86" s="14" t="n">
        <f aca="false">F86-H86</f>
        <v>-54.48</v>
      </c>
      <c r="J86" s="16" t="n">
        <f aca="false">IFERROR(I86/H86,0)</f>
        <v>-0.236869565217391</v>
      </c>
    </row>
    <row r="87" customFormat="false" ht="15" hidden="false" customHeight="false" outlineLevel="0" collapsed="false">
      <c r="A87" s="12" t="n">
        <f aca="false">Claims_Data!A87</f>
        <v>100086</v>
      </c>
      <c r="B87" s="12" t="str">
        <f aca="false">Claims_Data!E87</f>
        <v>80053</v>
      </c>
      <c r="C87" s="12" t="str">
        <f aca="false">Claims_Data!D87</f>
        <v>Medicaid</v>
      </c>
      <c r="D87" s="12" t="str">
        <f aca="false">Claims_Data!J87</f>
        <v>Paid</v>
      </c>
      <c r="E87" s="13" t="n">
        <f aca="false">Claims_Data!G87</f>
        <v>17.84</v>
      </c>
      <c r="F87" s="13" t="n">
        <f aca="false">Claims_Data!H87</f>
        <v>11.47</v>
      </c>
      <c r="G87" s="7" t="str">
        <f aca="false">VLOOKUP(C87,Reimbursement_Rates!$A$18:$B$22,2,FALSE())</f>
        <v>Medicaid_Rate</v>
      </c>
      <c r="H87" s="14" t="n">
        <f aca="false">INDEX(Reimbursement_Rates!$A$1:$G$11,MATCH(B87,Reimbursement_Rates!$A$1:$A$11,0),MATCH(G87,Reimbursement_Rates!$A$1:$G$1,0))</f>
        <v>14</v>
      </c>
      <c r="I87" s="14" t="n">
        <f aca="false">F87-H87</f>
        <v>-2.53</v>
      </c>
      <c r="J87" s="16" t="n">
        <f aca="false">IFERROR(I87/H87,0)</f>
        <v>-0.180714285714286</v>
      </c>
    </row>
    <row r="88" customFormat="false" ht="15" hidden="false" customHeight="false" outlineLevel="0" collapsed="false">
      <c r="A88" s="12" t="n">
        <f aca="false">Claims_Data!A88</f>
        <v>100087</v>
      </c>
      <c r="B88" s="12" t="str">
        <f aca="false">Claims_Data!E88</f>
        <v>99203</v>
      </c>
      <c r="C88" s="12" t="str">
        <f aca="false">Claims_Data!D88</f>
        <v>Kaiser HMO</v>
      </c>
      <c r="D88" s="12" t="str">
        <f aca="false">Claims_Data!J88</f>
        <v>Paid</v>
      </c>
      <c r="E88" s="13" t="n">
        <f aca="false">Claims_Data!G88</f>
        <v>157.49</v>
      </c>
      <c r="F88" s="13" t="n">
        <f aca="false">Claims_Data!H88</f>
        <v>87.04</v>
      </c>
      <c r="G88" s="7" t="str">
        <f aca="false">VLOOKUP(C88,Reimbursement_Rates!$A$18:$B$22,2,FALSE())</f>
        <v>Kaiser_HMO_Rate</v>
      </c>
      <c r="H88" s="14" t="n">
        <f aca="false">INDEX(Reimbursement_Rates!$A$1:$G$11,MATCH(B88,Reimbursement_Rates!$A$1:$A$11,0),MATCH(G88,Reimbursement_Rates!$A$1:$G$1,0))</f>
        <v>120</v>
      </c>
      <c r="I88" s="14" t="n">
        <f aca="false">F88-H88</f>
        <v>-32.96</v>
      </c>
      <c r="J88" s="16" t="n">
        <f aca="false">IFERROR(I88/H88,0)</f>
        <v>-0.274666666666667</v>
      </c>
    </row>
    <row r="89" customFormat="false" ht="15" hidden="false" customHeight="false" outlineLevel="0" collapsed="false">
      <c r="A89" s="12" t="n">
        <f aca="false">Claims_Data!A89</f>
        <v>100088</v>
      </c>
      <c r="B89" s="12" t="str">
        <f aca="false">Claims_Data!E89</f>
        <v>99204</v>
      </c>
      <c r="C89" s="12" t="str">
        <f aca="false">Claims_Data!D89</f>
        <v>Commercial - Aetna</v>
      </c>
      <c r="D89" s="12" t="str">
        <f aca="false">Claims_Data!J89</f>
        <v>Paid</v>
      </c>
      <c r="E89" s="13" t="n">
        <f aca="false">Claims_Data!G89</f>
        <v>336.68</v>
      </c>
      <c r="F89" s="13" t="n">
        <f aca="false">Claims_Data!H89</f>
        <v>258.44</v>
      </c>
      <c r="G89" s="7" t="str">
        <f aca="false">VLOOKUP(C89,Reimbursement_Rates!$A$18:$B$22,2,FALSE())</f>
        <v>Commercial_Rate</v>
      </c>
      <c r="H89" s="14" t="n">
        <f aca="false">INDEX(Reimbursement_Rates!$A$1:$G$11,MATCH(B89,Reimbursement_Rates!$A$1:$A$11,0),MATCH(G89,Reimbursement_Rates!$A$1:$G$1,0))</f>
        <v>230</v>
      </c>
      <c r="I89" s="14" t="n">
        <f aca="false">F89-H89</f>
        <v>28.44</v>
      </c>
      <c r="J89" s="16" t="n">
        <f aca="false">IFERROR(I89/H89,0)</f>
        <v>0.123652173913043</v>
      </c>
    </row>
    <row r="90" customFormat="false" ht="15" hidden="false" customHeight="false" outlineLevel="0" collapsed="false">
      <c r="A90" s="12" t="n">
        <f aca="false">Claims_Data!A90</f>
        <v>100089</v>
      </c>
      <c r="B90" s="12" t="str">
        <f aca="false">Claims_Data!E90</f>
        <v>80053</v>
      </c>
      <c r="C90" s="12" t="str">
        <f aca="false">Claims_Data!D90</f>
        <v>Commercial - Blue Shield</v>
      </c>
      <c r="D90" s="12" t="str">
        <f aca="false">Claims_Data!J90</f>
        <v>Paid</v>
      </c>
      <c r="E90" s="13" t="n">
        <f aca="false">Claims_Data!G90</f>
        <v>36.4</v>
      </c>
      <c r="F90" s="13" t="n">
        <f aca="false">Claims_Data!H90</f>
        <v>27.71</v>
      </c>
      <c r="G90" s="7" t="str">
        <f aca="false">VLOOKUP(C90,Reimbursement_Rates!$A$18:$B$22,2,FALSE())</f>
        <v>Commercial_Rate</v>
      </c>
      <c r="H90" s="14" t="n">
        <f aca="false">INDEX(Reimbursement_Rates!$A$1:$G$11,MATCH(B90,Reimbursement_Rates!$A$1:$A$11,0),MATCH(G90,Reimbursement_Rates!$A$1:$G$1,0))</f>
        <v>27</v>
      </c>
      <c r="I90" s="14" t="n">
        <f aca="false">F90-H90</f>
        <v>0.710000000000001</v>
      </c>
      <c r="J90" s="16" t="n">
        <f aca="false">IFERROR(I90/H90,0)</f>
        <v>0.0262962962962963</v>
      </c>
    </row>
    <row r="91" customFormat="false" ht="15" hidden="false" customHeight="false" outlineLevel="0" collapsed="false">
      <c r="A91" s="12" t="n">
        <f aca="false">Claims_Data!A91</f>
        <v>100090</v>
      </c>
      <c r="B91" s="12" t="str">
        <f aca="false">Claims_Data!E91</f>
        <v>36415</v>
      </c>
      <c r="C91" s="12" t="str">
        <f aca="false">Claims_Data!D91</f>
        <v>Medicare</v>
      </c>
      <c r="D91" s="12" t="str">
        <f aca="false">Claims_Data!J91</f>
        <v>Paid</v>
      </c>
      <c r="E91" s="13" t="n">
        <f aca="false">Claims_Data!G91</f>
        <v>16.46</v>
      </c>
      <c r="F91" s="13" t="n">
        <f aca="false">Claims_Data!H91</f>
        <v>8.76</v>
      </c>
      <c r="G91" s="7" t="str">
        <f aca="false">VLOOKUP(C91,Reimbursement_Rates!$A$18:$B$22,2,FALSE())</f>
        <v>Medicare_Rate</v>
      </c>
      <c r="H91" s="14" t="n">
        <f aca="false">INDEX(Reimbursement_Rates!$A$1:$G$11,MATCH(B91,Reimbursement_Rates!$A$1:$A$11,0),MATCH(G91,Reimbursement_Rates!$A$1:$G$1,0))</f>
        <v>12</v>
      </c>
      <c r="I91" s="14" t="n">
        <f aca="false">F91-H91</f>
        <v>-3.24</v>
      </c>
      <c r="J91" s="16" t="n">
        <f aca="false">IFERROR(I91/H91,0)</f>
        <v>-0.27</v>
      </c>
    </row>
    <row r="92" customFormat="false" ht="15" hidden="false" customHeight="false" outlineLevel="0" collapsed="false">
      <c r="A92" s="12" t="n">
        <f aca="false">Claims_Data!A92</f>
        <v>100091</v>
      </c>
      <c r="B92" s="12" t="str">
        <f aca="false">Claims_Data!E92</f>
        <v>99214</v>
      </c>
      <c r="C92" s="12" t="str">
        <f aca="false">Claims_Data!D92</f>
        <v>Medicaid</v>
      </c>
      <c r="D92" s="12" t="str">
        <f aca="false">Claims_Data!J92</f>
        <v>Paid</v>
      </c>
      <c r="E92" s="13" t="n">
        <f aca="false">Claims_Data!G92</f>
        <v>117.7</v>
      </c>
      <c r="F92" s="13" t="n">
        <f aca="false">Claims_Data!H92</f>
        <v>84.6</v>
      </c>
      <c r="G92" s="7" t="str">
        <f aca="false">VLOOKUP(C92,Reimbursement_Rates!$A$18:$B$22,2,FALSE())</f>
        <v>Medicaid_Rate</v>
      </c>
      <c r="H92" s="14" t="n">
        <f aca="false">INDEX(Reimbursement_Rates!$A$1:$G$11,MATCH(B92,Reimbursement_Rates!$A$1:$A$11,0),MATCH(G92,Reimbursement_Rates!$A$1:$G$1,0))</f>
        <v>84</v>
      </c>
      <c r="I92" s="14" t="n">
        <f aca="false">F92-H92</f>
        <v>0.599999999999994</v>
      </c>
      <c r="J92" s="16" t="n">
        <f aca="false">IFERROR(I92/H92,0)</f>
        <v>0.00714285714285708</v>
      </c>
    </row>
    <row r="93" customFormat="false" ht="15" hidden="false" customHeight="false" outlineLevel="0" collapsed="false">
      <c r="A93" s="12" t="n">
        <f aca="false">Claims_Data!A93</f>
        <v>100092</v>
      </c>
      <c r="B93" s="12" t="str">
        <f aca="false">Claims_Data!E93</f>
        <v>80053</v>
      </c>
      <c r="C93" s="12" t="str">
        <f aca="false">Claims_Data!D93</f>
        <v>Commercial - Blue Shield</v>
      </c>
      <c r="D93" s="12" t="str">
        <f aca="false">Claims_Data!J93</f>
        <v>Paid</v>
      </c>
      <c r="E93" s="13" t="n">
        <f aca="false">Claims_Data!G93</f>
        <v>34.66</v>
      </c>
      <c r="F93" s="13" t="n">
        <f aca="false">Claims_Data!H93</f>
        <v>27.11</v>
      </c>
      <c r="G93" s="7" t="str">
        <f aca="false">VLOOKUP(C93,Reimbursement_Rates!$A$18:$B$22,2,FALSE())</f>
        <v>Commercial_Rate</v>
      </c>
      <c r="H93" s="14" t="n">
        <f aca="false">INDEX(Reimbursement_Rates!$A$1:$G$11,MATCH(B93,Reimbursement_Rates!$A$1:$A$11,0),MATCH(G93,Reimbursement_Rates!$A$1:$G$1,0))</f>
        <v>27</v>
      </c>
      <c r="I93" s="14" t="n">
        <f aca="false">F93-H93</f>
        <v>0.109999999999999</v>
      </c>
      <c r="J93" s="16" t="n">
        <f aca="false">IFERROR(I93/H93,0)</f>
        <v>0.00407407407407405</v>
      </c>
    </row>
    <row r="94" customFormat="false" ht="15" hidden="false" customHeight="false" outlineLevel="0" collapsed="false">
      <c r="A94" s="12" t="n">
        <f aca="false">Claims_Data!A94</f>
        <v>100093</v>
      </c>
      <c r="B94" s="12" t="str">
        <f aca="false">Claims_Data!E94</f>
        <v>99203</v>
      </c>
      <c r="C94" s="12" t="str">
        <f aca="false">Claims_Data!D94</f>
        <v>Medicaid</v>
      </c>
      <c r="D94" s="12" t="str">
        <f aca="false">Claims_Data!J94</f>
        <v>Paid</v>
      </c>
      <c r="E94" s="13" t="n">
        <f aca="false">Claims_Data!G94</f>
        <v>93.91</v>
      </c>
      <c r="F94" s="13" t="n">
        <f aca="false">Claims_Data!H94</f>
        <v>74.23</v>
      </c>
      <c r="G94" s="7" t="str">
        <f aca="false">VLOOKUP(C94,Reimbursement_Rates!$A$18:$B$22,2,FALSE())</f>
        <v>Medicaid_Rate</v>
      </c>
      <c r="H94" s="14" t="n">
        <f aca="false">INDEX(Reimbursement_Rates!$A$1:$G$11,MATCH(B94,Reimbursement_Rates!$A$1:$A$11,0),MATCH(G94,Reimbursement_Rates!$A$1:$G$1,0))</f>
        <v>74</v>
      </c>
      <c r="I94" s="14" t="n">
        <f aca="false">F94-H94</f>
        <v>0.230000000000004</v>
      </c>
      <c r="J94" s="16" t="n">
        <f aca="false">IFERROR(I94/H94,0)</f>
        <v>0.00310810810810816</v>
      </c>
    </row>
    <row r="95" customFormat="false" ht="15" hidden="false" customHeight="false" outlineLevel="0" collapsed="false">
      <c r="A95" s="12" t="n">
        <f aca="false">Claims_Data!A95</f>
        <v>100094</v>
      </c>
      <c r="B95" s="12" t="str">
        <f aca="false">Claims_Data!E95</f>
        <v>80053</v>
      </c>
      <c r="C95" s="12" t="str">
        <f aca="false">Claims_Data!D95</f>
        <v>Commercial - Blue Shield</v>
      </c>
      <c r="D95" s="12" t="str">
        <f aca="false">Claims_Data!J95</f>
        <v>Paid</v>
      </c>
      <c r="E95" s="13" t="n">
        <f aca="false">Claims_Data!G95</f>
        <v>39.43</v>
      </c>
      <c r="F95" s="13" t="n">
        <f aca="false">Claims_Data!H95</f>
        <v>26.66</v>
      </c>
      <c r="G95" s="7" t="str">
        <f aca="false">VLOOKUP(C95,Reimbursement_Rates!$A$18:$B$22,2,FALSE())</f>
        <v>Commercial_Rate</v>
      </c>
      <c r="H95" s="14" t="n">
        <f aca="false">INDEX(Reimbursement_Rates!$A$1:$G$11,MATCH(B95,Reimbursement_Rates!$A$1:$A$11,0),MATCH(G95,Reimbursement_Rates!$A$1:$G$1,0))</f>
        <v>27</v>
      </c>
      <c r="I95" s="14" t="n">
        <f aca="false">F95-H95</f>
        <v>-0.34</v>
      </c>
      <c r="J95" s="16" t="n">
        <f aca="false">IFERROR(I95/H95,0)</f>
        <v>-0.0125925925925926</v>
      </c>
    </row>
    <row r="96" customFormat="false" ht="15" hidden="false" customHeight="false" outlineLevel="0" collapsed="false">
      <c r="A96" s="12" t="n">
        <f aca="false">Claims_Data!A96</f>
        <v>100095</v>
      </c>
      <c r="B96" s="12" t="str">
        <f aca="false">Claims_Data!E96</f>
        <v>99203</v>
      </c>
      <c r="C96" s="12" t="str">
        <f aca="false">Claims_Data!D96</f>
        <v>Medicare</v>
      </c>
      <c r="D96" s="12" t="str">
        <f aca="false">Claims_Data!J96</f>
        <v>Paid</v>
      </c>
      <c r="E96" s="13" t="n">
        <f aca="false">Claims_Data!G96</f>
        <v>175.37</v>
      </c>
      <c r="F96" s="13" t="n">
        <f aca="false">Claims_Data!H96</f>
        <v>113.08</v>
      </c>
      <c r="G96" s="7" t="str">
        <f aca="false">VLOOKUP(C96,Reimbursement_Rates!$A$18:$B$22,2,FALSE())</f>
        <v>Medicare_Rate</v>
      </c>
      <c r="H96" s="14" t="n">
        <f aca="false">INDEX(Reimbursement_Rates!$A$1:$G$11,MATCH(B96,Reimbursement_Rates!$A$1:$A$11,0),MATCH(G96,Reimbursement_Rates!$A$1:$G$1,0))</f>
        <v>112</v>
      </c>
      <c r="I96" s="14" t="n">
        <f aca="false">F96-H96</f>
        <v>1.08</v>
      </c>
      <c r="J96" s="16" t="n">
        <f aca="false">IFERROR(I96/H96,0)</f>
        <v>0.00964285714285713</v>
      </c>
    </row>
    <row r="97" customFormat="false" ht="15" hidden="false" customHeight="false" outlineLevel="0" collapsed="false">
      <c r="A97" s="12" t="n">
        <f aca="false">Claims_Data!A97</f>
        <v>100096</v>
      </c>
      <c r="B97" s="12" t="str">
        <f aca="false">Claims_Data!E97</f>
        <v>93000</v>
      </c>
      <c r="C97" s="12" t="str">
        <f aca="false">Claims_Data!D97</f>
        <v>Medicare</v>
      </c>
      <c r="D97" s="12" t="str">
        <f aca="false">Claims_Data!J97</f>
        <v>Paid</v>
      </c>
      <c r="E97" s="13" t="n">
        <f aca="false">Claims_Data!G97</f>
        <v>42.54</v>
      </c>
      <c r="F97" s="13" t="n">
        <f aca="false">Claims_Data!H97</f>
        <v>33.27</v>
      </c>
      <c r="G97" s="7" t="str">
        <f aca="false">VLOOKUP(C97,Reimbursement_Rates!$A$18:$B$22,2,FALSE())</f>
        <v>Medicare_Rate</v>
      </c>
      <c r="H97" s="14" t="n">
        <f aca="false">INDEX(Reimbursement_Rates!$A$1:$G$11,MATCH(B97,Reimbursement_Rates!$A$1:$A$11,0),MATCH(G97,Reimbursement_Rates!$A$1:$G$1,0))</f>
        <v>34</v>
      </c>
      <c r="I97" s="14" t="n">
        <f aca="false">F97-H97</f>
        <v>-0.729999999999997</v>
      </c>
      <c r="J97" s="16" t="n">
        <f aca="false">IFERROR(I97/H97,0)</f>
        <v>-0.021470588235294</v>
      </c>
    </row>
    <row r="98" customFormat="false" ht="15" hidden="false" customHeight="false" outlineLevel="0" collapsed="false">
      <c r="A98" s="12" t="n">
        <f aca="false">Claims_Data!A98</f>
        <v>100097</v>
      </c>
      <c r="B98" s="12" t="str">
        <f aca="false">Claims_Data!E98</f>
        <v>71046</v>
      </c>
      <c r="C98" s="12" t="str">
        <f aca="false">Claims_Data!D98</f>
        <v>Kaiser HMO</v>
      </c>
      <c r="D98" s="12" t="str">
        <f aca="false">Claims_Data!J98</f>
        <v>Paid</v>
      </c>
      <c r="E98" s="13" t="n">
        <f aca="false">Claims_Data!G98</f>
        <v>75.84</v>
      </c>
      <c r="F98" s="13" t="n">
        <f aca="false">Claims_Data!H98</f>
        <v>49.85</v>
      </c>
      <c r="G98" s="7" t="str">
        <f aca="false">VLOOKUP(C98,Reimbursement_Rates!$A$18:$B$22,2,FALSE())</f>
        <v>Kaiser_HMO_Rate</v>
      </c>
      <c r="H98" s="14" t="n">
        <f aca="false">INDEX(Reimbursement_Rates!$A$1:$G$11,MATCH(B98,Reimbursement_Rates!$A$1:$A$11,0),MATCH(G98,Reimbursement_Rates!$A$1:$G$1,0))</f>
        <v>51</v>
      </c>
      <c r="I98" s="14" t="n">
        <f aca="false">F98-H98</f>
        <v>-1.15</v>
      </c>
      <c r="J98" s="16" t="n">
        <f aca="false">IFERROR(I98/H98,0)</f>
        <v>-0.0225490196078431</v>
      </c>
    </row>
    <row r="99" customFormat="false" ht="15" hidden="false" customHeight="false" outlineLevel="0" collapsed="false">
      <c r="A99" s="12" t="n">
        <f aca="false">Claims_Data!A99</f>
        <v>100098</v>
      </c>
      <c r="B99" s="12" t="str">
        <f aca="false">Claims_Data!E99</f>
        <v>93000</v>
      </c>
      <c r="C99" s="12" t="str">
        <f aca="false">Claims_Data!D99</f>
        <v>Kaiser HMO</v>
      </c>
      <c r="D99" s="12" t="str">
        <f aca="false">Claims_Data!J99</f>
        <v>Paid</v>
      </c>
      <c r="E99" s="13" t="n">
        <f aca="false">Claims_Data!G99</f>
        <v>50.15</v>
      </c>
      <c r="F99" s="13" t="n">
        <f aca="false">Claims_Data!H99</f>
        <v>36.84</v>
      </c>
      <c r="G99" s="7" t="str">
        <f aca="false">VLOOKUP(C99,Reimbursement_Rates!$A$18:$B$22,2,FALSE())</f>
        <v>Kaiser_HMO_Rate</v>
      </c>
      <c r="H99" s="14" t="n">
        <f aca="false">INDEX(Reimbursement_Rates!$A$1:$G$11,MATCH(B99,Reimbursement_Rates!$A$1:$A$11,0),MATCH(G99,Reimbursement_Rates!$A$1:$G$1,0))</f>
        <v>36</v>
      </c>
      <c r="I99" s="14" t="n">
        <f aca="false">F99-H99</f>
        <v>0.840000000000003</v>
      </c>
      <c r="J99" s="16" t="n">
        <f aca="false">IFERROR(I99/H99,0)</f>
        <v>0.0233333333333334</v>
      </c>
    </row>
    <row r="100" customFormat="false" ht="15" hidden="false" customHeight="false" outlineLevel="0" collapsed="false">
      <c r="A100" s="12" t="n">
        <f aca="false">Claims_Data!A100</f>
        <v>100099</v>
      </c>
      <c r="B100" s="12" t="str">
        <f aca="false">Claims_Data!E100</f>
        <v>99214</v>
      </c>
      <c r="C100" s="12" t="str">
        <f aca="false">Claims_Data!D100</f>
        <v>Medicare</v>
      </c>
      <c r="D100" s="12" t="str">
        <f aca="false">Claims_Data!J100</f>
        <v>Paid</v>
      </c>
      <c r="E100" s="13" t="n">
        <f aca="false">Claims_Data!G100</f>
        <v>160.39</v>
      </c>
      <c r="F100" s="13" t="n">
        <f aca="false">Claims_Data!H100</f>
        <v>145.67</v>
      </c>
      <c r="G100" s="7" t="str">
        <f aca="false">VLOOKUP(C100,Reimbursement_Rates!$A$18:$B$22,2,FALSE())</f>
        <v>Medicare_Rate</v>
      </c>
      <c r="H100" s="14" t="n">
        <f aca="false">INDEX(Reimbursement_Rates!$A$1:$G$11,MATCH(B100,Reimbursement_Rates!$A$1:$A$11,0),MATCH(G100,Reimbursement_Rates!$A$1:$G$1,0))</f>
        <v>128</v>
      </c>
      <c r="I100" s="14" t="n">
        <f aca="false">F100-H100</f>
        <v>17.67</v>
      </c>
      <c r="J100" s="16" t="n">
        <f aca="false">IFERROR(I100/H100,0)</f>
        <v>0.138046875</v>
      </c>
    </row>
    <row r="101" customFormat="false" ht="15" hidden="false" customHeight="false" outlineLevel="0" collapsed="false">
      <c r="A101" s="12" t="n">
        <f aca="false">Claims_Data!A101</f>
        <v>100100</v>
      </c>
      <c r="B101" s="12" t="str">
        <f aca="false">Claims_Data!E101</f>
        <v>99213</v>
      </c>
      <c r="C101" s="12" t="str">
        <f aca="false">Claims_Data!D101</f>
        <v>Commercial - Aetna</v>
      </c>
      <c r="D101" s="12" t="str">
        <f aca="false">Claims_Data!J101</f>
        <v>Paid</v>
      </c>
      <c r="E101" s="13" t="n">
        <f aca="false">Claims_Data!G101</f>
        <v>176.22</v>
      </c>
      <c r="F101" s="13" t="n">
        <f aca="false">Claims_Data!H101</f>
        <v>117.59</v>
      </c>
      <c r="G101" s="7" t="str">
        <f aca="false">VLOOKUP(C101,Reimbursement_Rates!$A$18:$B$22,2,FALSE())</f>
        <v>Commercial_Rate</v>
      </c>
      <c r="H101" s="14" t="n">
        <f aca="false">INDEX(Reimbursement_Rates!$A$1:$G$11,MATCH(B101,Reimbursement_Rates!$A$1:$A$11,0),MATCH(G101,Reimbursement_Rates!$A$1:$G$1,0))</f>
        <v>118</v>
      </c>
      <c r="I101" s="14" t="n">
        <f aca="false">F101-H101</f>
        <v>-0.409999999999997</v>
      </c>
      <c r="J101" s="16" t="n">
        <f aca="false">IFERROR(I101/H101,0)</f>
        <v>-0.00347457627118641</v>
      </c>
    </row>
    <row r="102" customFormat="false" ht="15" hidden="false" customHeight="false" outlineLevel="0" collapsed="false">
      <c r="A102" s="12" t="n">
        <f aca="false">Claims_Data!A102</f>
        <v>100101</v>
      </c>
      <c r="B102" s="12" t="str">
        <f aca="false">Claims_Data!E102</f>
        <v>36415</v>
      </c>
      <c r="C102" s="12" t="str">
        <f aca="false">Claims_Data!D102</f>
        <v>Commercial - Aetna</v>
      </c>
      <c r="D102" s="12" t="str">
        <f aca="false">Claims_Data!J102</f>
        <v>Paid</v>
      </c>
      <c r="E102" s="13" t="n">
        <f aca="false">Claims_Data!G102</f>
        <v>22.97</v>
      </c>
      <c r="F102" s="13" t="n">
        <f aca="false">Claims_Data!H102</f>
        <v>15.85</v>
      </c>
      <c r="G102" s="7" t="str">
        <f aca="false">VLOOKUP(C102,Reimbursement_Rates!$A$18:$B$22,2,FALSE())</f>
        <v>Commercial_Rate</v>
      </c>
      <c r="H102" s="14" t="n">
        <f aca="false">INDEX(Reimbursement_Rates!$A$1:$G$11,MATCH(B102,Reimbursement_Rates!$A$1:$A$11,0),MATCH(G102,Reimbursement_Rates!$A$1:$G$1,0))</f>
        <v>16</v>
      </c>
      <c r="I102" s="14" t="n">
        <f aca="false">F102-H102</f>
        <v>-0.15</v>
      </c>
      <c r="J102" s="16" t="n">
        <f aca="false">IFERROR(I102/H102,0)</f>
        <v>-0.00937500000000002</v>
      </c>
    </row>
    <row r="103" customFormat="false" ht="15" hidden="false" customHeight="false" outlineLevel="0" collapsed="false">
      <c r="A103" s="12" t="n">
        <f aca="false">Claims_Data!A103</f>
        <v>100102</v>
      </c>
      <c r="B103" s="12" t="str">
        <f aca="false">Claims_Data!E103</f>
        <v>99215</v>
      </c>
      <c r="C103" s="12" t="str">
        <f aca="false">Claims_Data!D103</f>
        <v>Medicare</v>
      </c>
      <c r="D103" s="12" t="str">
        <f aca="false">Claims_Data!J103</f>
        <v>Paid</v>
      </c>
      <c r="E103" s="13" t="n">
        <f aca="false">Claims_Data!G103</f>
        <v>237.61</v>
      </c>
      <c r="F103" s="13" t="n">
        <f aca="false">Claims_Data!H103</f>
        <v>187.89</v>
      </c>
      <c r="G103" s="7" t="str">
        <f aca="false">VLOOKUP(C103,Reimbursement_Rates!$A$18:$B$22,2,FALSE())</f>
        <v>Medicare_Rate</v>
      </c>
      <c r="H103" s="14" t="n">
        <f aca="false">INDEX(Reimbursement_Rates!$A$1:$G$11,MATCH(B103,Reimbursement_Rates!$A$1:$A$11,0),MATCH(G103,Reimbursement_Rates!$A$1:$G$1,0))</f>
        <v>183</v>
      </c>
      <c r="I103" s="14" t="n">
        <f aca="false">F103-H103</f>
        <v>4.88999999999999</v>
      </c>
      <c r="J103" s="16" t="n">
        <f aca="false">IFERROR(I103/H103,0)</f>
        <v>0.0267213114754098</v>
      </c>
    </row>
    <row r="104" customFormat="false" ht="15" hidden="false" customHeight="false" outlineLevel="0" collapsed="false">
      <c r="A104" s="12" t="n">
        <f aca="false">Claims_Data!A104</f>
        <v>100103</v>
      </c>
      <c r="B104" s="12" t="str">
        <f aca="false">Claims_Data!E104</f>
        <v>90935</v>
      </c>
      <c r="C104" s="12" t="str">
        <f aca="false">Claims_Data!D104</f>
        <v>Medicare</v>
      </c>
      <c r="D104" s="12" t="str">
        <f aca="false">Claims_Data!J104</f>
        <v>Paid</v>
      </c>
      <c r="E104" s="13" t="n">
        <f aca="false">Claims_Data!G104</f>
        <v>183.22</v>
      </c>
      <c r="F104" s="13" t="n">
        <f aca="false">Claims_Data!H104</f>
        <v>126.58</v>
      </c>
      <c r="G104" s="7" t="str">
        <f aca="false">VLOOKUP(C104,Reimbursement_Rates!$A$18:$B$22,2,FALSE())</f>
        <v>Medicare_Rate</v>
      </c>
      <c r="H104" s="14" t="n">
        <f aca="false">INDEX(Reimbursement_Rates!$A$1:$G$11,MATCH(B104,Reimbursement_Rates!$A$1:$A$11,0),MATCH(G104,Reimbursement_Rates!$A$1:$G$1,0))</f>
        <v>145</v>
      </c>
      <c r="I104" s="14" t="n">
        <f aca="false">F104-H104</f>
        <v>-18.42</v>
      </c>
      <c r="J104" s="16" t="n">
        <f aca="false">IFERROR(I104/H104,0)</f>
        <v>-0.127034482758621</v>
      </c>
    </row>
    <row r="105" customFormat="false" ht="15" hidden="false" customHeight="false" outlineLevel="0" collapsed="false">
      <c r="A105" s="12" t="n">
        <f aca="false">Claims_Data!A105</f>
        <v>100104</v>
      </c>
      <c r="B105" s="12" t="str">
        <f aca="false">Claims_Data!E105</f>
        <v>99213</v>
      </c>
      <c r="C105" s="12" t="str">
        <f aca="false">Claims_Data!D105</f>
        <v>Commercial - Blue Shield</v>
      </c>
      <c r="D105" s="12" t="str">
        <f aca="false">Claims_Data!J105</f>
        <v>Paid</v>
      </c>
      <c r="E105" s="13" t="n">
        <f aca="false">Claims_Data!G105</f>
        <v>145.66</v>
      </c>
      <c r="F105" s="13" t="n">
        <f aca="false">Claims_Data!H105</f>
        <v>97.36</v>
      </c>
      <c r="G105" s="7" t="str">
        <f aca="false">VLOOKUP(C105,Reimbursement_Rates!$A$18:$B$22,2,FALSE())</f>
        <v>Commercial_Rate</v>
      </c>
      <c r="H105" s="14" t="n">
        <f aca="false">INDEX(Reimbursement_Rates!$A$1:$G$11,MATCH(B105,Reimbursement_Rates!$A$1:$A$11,0),MATCH(G105,Reimbursement_Rates!$A$1:$G$1,0))</f>
        <v>118</v>
      </c>
      <c r="I105" s="14" t="n">
        <f aca="false">F105-H105</f>
        <v>-20.64</v>
      </c>
      <c r="J105" s="16" t="n">
        <f aca="false">IFERROR(I105/H105,0)</f>
        <v>-0.174915254237288</v>
      </c>
    </row>
    <row r="106" customFormat="false" ht="15" hidden="false" customHeight="false" outlineLevel="0" collapsed="false">
      <c r="A106" s="12" t="n">
        <f aca="false">Claims_Data!A106</f>
        <v>100105</v>
      </c>
      <c r="B106" s="12" t="str">
        <f aca="false">Claims_Data!E106</f>
        <v>93000</v>
      </c>
      <c r="C106" s="12" t="str">
        <f aca="false">Claims_Data!D106</f>
        <v>Kaiser HMO</v>
      </c>
      <c r="D106" s="12" t="str">
        <f aca="false">Claims_Data!J106</f>
        <v>Paid</v>
      </c>
      <c r="E106" s="13" t="n">
        <f aca="false">Claims_Data!G106</f>
        <v>43.52</v>
      </c>
      <c r="F106" s="13" t="n">
        <f aca="false">Claims_Data!H106</f>
        <v>40.42</v>
      </c>
      <c r="G106" s="7" t="str">
        <f aca="false">VLOOKUP(C106,Reimbursement_Rates!$A$18:$B$22,2,FALSE())</f>
        <v>Kaiser_HMO_Rate</v>
      </c>
      <c r="H106" s="14" t="n">
        <f aca="false">INDEX(Reimbursement_Rates!$A$1:$G$11,MATCH(B106,Reimbursement_Rates!$A$1:$A$11,0),MATCH(G106,Reimbursement_Rates!$A$1:$G$1,0))</f>
        <v>36</v>
      </c>
      <c r="I106" s="14" t="n">
        <f aca="false">F106-H106</f>
        <v>4.42</v>
      </c>
      <c r="J106" s="16" t="n">
        <f aca="false">IFERROR(I106/H106,0)</f>
        <v>0.122777777777778</v>
      </c>
    </row>
    <row r="107" customFormat="false" ht="15" hidden="false" customHeight="false" outlineLevel="0" collapsed="false">
      <c r="A107" s="12" t="n">
        <f aca="false">Claims_Data!A107</f>
        <v>100106</v>
      </c>
      <c r="B107" s="12" t="str">
        <f aca="false">Claims_Data!E107</f>
        <v>99204</v>
      </c>
      <c r="C107" s="12" t="str">
        <f aca="false">Claims_Data!D107</f>
        <v>Medicaid</v>
      </c>
      <c r="D107" s="12" t="str">
        <f aca="false">Claims_Data!J107</f>
        <v>Paid</v>
      </c>
      <c r="E107" s="13" t="n">
        <f aca="false">Claims_Data!G107</f>
        <v>164.95</v>
      </c>
      <c r="F107" s="13" t="n">
        <f aca="false">Claims_Data!H107</f>
        <v>121.49</v>
      </c>
      <c r="G107" s="7" t="str">
        <f aca="false">VLOOKUP(C107,Reimbursement_Rates!$A$18:$B$22,2,FALSE())</f>
        <v>Medicaid_Rate</v>
      </c>
      <c r="H107" s="14" t="n">
        <f aca="false">INDEX(Reimbursement_Rates!$A$1:$G$11,MATCH(B107,Reimbursement_Rates!$A$1:$A$11,0),MATCH(G107,Reimbursement_Rates!$A$1:$G$1,0))</f>
        <v>118</v>
      </c>
      <c r="I107" s="14" t="n">
        <f aca="false">F107-H107</f>
        <v>3.49</v>
      </c>
      <c r="J107" s="16" t="n">
        <f aca="false">IFERROR(I107/H107,0)</f>
        <v>0.0295762711864406</v>
      </c>
    </row>
    <row r="108" customFormat="false" ht="15" hidden="false" customHeight="false" outlineLevel="0" collapsed="false">
      <c r="A108" s="12" t="n">
        <f aca="false">Claims_Data!A108</f>
        <v>100107</v>
      </c>
      <c r="B108" s="12" t="str">
        <f aca="false">Claims_Data!E108</f>
        <v>99215</v>
      </c>
      <c r="C108" s="12" t="str">
        <f aca="false">Claims_Data!D108</f>
        <v>Medicare</v>
      </c>
      <c r="D108" s="12" t="str">
        <f aca="false">Claims_Data!J108</f>
        <v>Paid</v>
      </c>
      <c r="E108" s="13" t="n">
        <f aca="false">Claims_Data!G108</f>
        <v>251.49</v>
      </c>
      <c r="F108" s="13" t="n">
        <f aca="false">Claims_Data!H108</f>
        <v>180.51</v>
      </c>
      <c r="G108" s="7" t="str">
        <f aca="false">VLOOKUP(C108,Reimbursement_Rates!$A$18:$B$22,2,FALSE())</f>
        <v>Medicare_Rate</v>
      </c>
      <c r="H108" s="14" t="n">
        <f aca="false">INDEX(Reimbursement_Rates!$A$1:$G$11,MATCH(B108,Reimbursement_Rates!$A$1:$A$11,0),MATCH(G108,Reimbursement_Rates!$A$1:$G$1,0))</f>
        <v>183</v>
      </c>
      <c r="I108" s="14" t="n">
        <f aca="false">F108-H108</f>
        <v>-2.49000000000001</v>
      </c>
      <c r="J108" s="16" t="n">
        <f aca="false">IFERROR(I108/H108,0)</f>
        <v>-0.0136065573770492</v>
      </c>
    </row>
    <row r="109" customFormat="false" ht="15" hidden="false" customHeight="false" outlineLevel="0" collapsed="false">
      <c r="A109" s="12" t="n">
        <f aca="false">Claims_Data!A109</f>
        <v>100108</v>
      </c>
      <c r="B109" s="12" t="str">
        <f aca="false">Claims_Data!E109</f>
        <v>80053</v>
      </c>
      <c r="C109" s="12" t="str">
        <f aca="false">Claims_Data!D109</f>
        <v>Medicaid</v>
      </c>
      <c r="D109" s="12" t="str">
        <f aca="false">Claims_Data!J109</f>
        <v>Paid</v>
      </c>
      <c r="E109" s="13" t="n">
        <f aca="false">Claims_Data!G109</f>
        <v>19.57</v>
      </c>
      <c r="F109" s="13" t="n">
        <f aca="false">Claims_Data!H109</f>
        <v>15.77</v>
      </c>
      <c r="G109" s="7" t="str">
        <f aca="false">VLOOKUP(C109,Reimbursement_Rates!$A$18:$B$22,2,FALSE())</f>
        <v>Medicaid_Rate</v>
      </c>
      <c r="H109" s="14" t="n">
        <f aca="false">INDEX(Reimbursement_Rates!$A$1:$G$11,MATCH(B109,Reimbursement_Rates!$A$1:$A$11,0),MATCH(G109,Reimbursement_Rates!$A$1:$G$1,0))</f>
        <v>14</v>
      </c>
      <c r="I109" s="14" t="n">
        <f aca="false">F109-H109</f>
        <v>1.77</v>
      </c>
      <c r="J109" s="16" t="n">
        <f aca="false">IFERROR(I109/H109,0)</f>
        <v>0.126428571428571</v>
      </c>
    </row>
    <row r="110" customFormat="false" ht="15" hidden="false" customHeight="false" outlineLevel="0" collapsed="false">
      <c r="A110" s="12" t="n">
        <f aca="false">Claims_Data!A110</f>
        <v>100109</v>
      </c>
      <c r="B110" s="12" t="str">
        <f aca="false">Claims_Data!E110</f>
        <v>36415</v>
      </c>
      <c r="C110" s="12" t="str">
        <f aca="false">Claims_Data!D110</f>
        <v>Kaiser HMO</v>
      </c>
      <c r="D110" s="12" t="str">
        <f aca="false">Claims_Data!J110</f>
        <v>Paid</v>
      </c>
      <c r="E110" s="13" t="n">
        <f aca="false">Claims_Data!G110</f>
        <v>16.94</v>
      </c>
      <c r="F110" s="13" t="n">
        <f aca="false">Claims_Data!H110</f>
        <v>12.61</v>
      </c>
      <c r="G110" s="7" t="str">
        <f aca="false">VLOOKUP(C110,Reimbursement_Rates!$A$18:$B$22,2,FALSE())</f>
        <v>Kaiser_HMO_Rate</v>
      </c>
      <c r="H110" s="14" t="n">
        <f aca="false">INDEX(Reimbursement_Rates!$A$1:$G$11,MATCH(B110,Reimbursement_Rates!$A$1:$A$11,0),MATCH(G110,Reimbursement_Rates!$A$1:$G$1,0))</f>
        <v>13</v>
      </c>
      <c r="I110" s="14" t="n">
        <f aca="false">F110-H110</f>
        <v>-0.390000000000001</v>
      </c>
      <c r="J110" s="16" t="n">
        <f aca="false">IFERROR(I110/H110,0)</f>
        <v>-0.03</v>
      </c>
    </row>
    <row r="111" customFormat="false" ht="15" hidden="false" customHeight="false" outlineLevel="0" collapsed="false">
      <c r="A111" s="12" t="n">
        <f aca="false">Claims_Data!A111</f>
        <v>100110</v>
      </c>
      <c r="B111" s="12" t="str">
        <f aca="false">Claims_Data!E111</f>
        <v>80053</v>
      </c>
      <c r="C111" s="12" t="str">
        <f aca="false">Claims_Data!D111</f>
        <v>Medicaid</v>
      </c>
      <c r="D111" s="12" t="str">
        <f aca="false">Claims_Data!J111</f>
        <v>Paid</v>
      </c>
      <c r="E111" s="13" t="n">
        <f aca="false">Claims_Data!G111</f>
        <v>19.49</v>
      </c>
      <c r="F111" s="13" t="n">
        <f aca="false">Claims_Data!H111</f>
        <v>14.04</v>
      </c>
      <c r="G111" s="7" t="str">
        <f aca="false">VLOOKUP(C111,Reimbursement_Rates!$A$18:$B$22,2,FALSE())</f>
        <v>Medicaid_Rate</v>
      </c>
      <c r="H111" s="14" t="n">
        <f aca="false">INDEX(Reimbursement_Rates!$A$1:$G$11,MATCH(B111,Reimbursement_Rates!$A$1:$A$11,0),MATCH(G111,Reimbursement_Rates!$A$1:$G$1,0))</f>
        <v>14</v>
      </c>
      <c r="I111" s="14" t="n">
        <f aca="false">F111-H111</f>
        <v>0.0399999999999992</v>
      </c>
      <c r="J111" s="16" t="n">
        <f aca="false">IFERROR(I111/H111,0)</f>
        <v>0.0028571428571428</v>
      </c>
    </row>
    <row r="112" customFormat="false" ht="15" hidden="false" customHeight="false" outlineLevel="0" collapsed="false">
      <c r="A112" s="12" t="n">
        <f aca="false">Claims_Data!A112</f>
        <v>100111</v>
      </c>
      <c r="B112" s="12" t="str">
        <f aca="false">Claims_Data!E112</f>
        <v>99203</v>
      </c>
      <c r="C112" s="12" t="str">
        <f aca="false">Claims_Data!D112</f>
        <v>Medicaid</v>
      </c>
      <c r="D112" s="12" t="str">
        <f aca="false">Claims_Data!J112</f>
        <v>Paid</v>
      </c>
      <c r="E112" s="13" t="n">
        <f aca="false">Claims_Data!G112</f>
        <v>104.14</v>
      </c>
      <c r="F112" s="13" t="n">
        <f aca="false">Claims_Data!H112</f>
        <v>52.45</v>
      </c>
      <c r="G112" s="7" t="str">
        <f aca="false">VLOOKUP(C112,Reimbursement_Rates!$A$18:$B$22,2,FALSE())</f>
        <v>Medicaid_Rate</v>
      </c>
      <c r="H112" s="14" t="n">
        <f aca="false">INDEX(Reimbursement_Rates!$A$1:$G$11,MATCH(B112,Reimbursement_Rates!$A$1:$A$11,0),MATCH(G112,Reimbursement_Rates!$A$1:$G$1,0))</f>
        <v>74</v>
      </c>
      <c r="I112" s="14" t="n">
        <f aca="false">F112-H112</f>
        <v>-21.55</v>
      </c>
      <c r="J112" s="16" t="n">
        <f aca="false">IFERROR(I112/H112,0)</f>
        <v>-0.291216216216216</v>
      </c>
    </row>
    <row r="113" customFormat="false" ht="15" hidden="false" customHeight="false" outlineLevel="0" collapsed="false">
      <c r="A113" s="12" t="n">
        <f aca="false">Claims_Data!A113</f>
        <v>100112</v>
      </c>
      <c r="B113" s="12" t="str">
        <f aca="false">Claims_Data!E113</f>
        <v>99215</v>
      </c>
      <c r="C113" s="12" t="str">
        <f aca="false">Claims_Data!D113</f>
        <v>Commercial - Blue Shield</v>
      </c>
      <c r="D113" s="12" t="str">
        <f aca="false">Claims_Data!J113</f>
        <v>Paid</v>
      </c>
      <c r="E113" s="13" t="n">
        <f aca="false">Claims_Data!G113</f>
        <v>324</v>
      </c>
      <c r="F113" s="13" t="n">
        <f aca="false">Claims_Data!H113</f>
        <v>237.28</v>
      </c>
      <c r="G113" s="7" t="str">
        <f aca="false">VLOOKUP(C113,Reimbursement_Rates!$A$18:$B$22,2,FALSE())</f>
        <v>Commercial_Rate</v>
      </c>
      <c r="H113" s="14" t="n">
        <f aca="false">INDEX(Reimbursement_Rates!$A$1:$G$11,MATCH(B113,Reimbursement_Rates!$A$1:$A$11,0),MATCH(G113,Reimbursement_Rates!$A$1:$G$1,0))</f>
        <v>236</v>
      </c>
      <c r="I113" s="14" t="n">
        <f aca="false">F113-H113</f>
        <v>1.28</v>
      </c>
      <c r="J113" s="16" t="n">
        <f aca="false">IFERROR(I113/H113,0)</f>
        <v>0.00542372881355933</v>
      </c>
    </row>
    <row r="114" customFormat="false" ht="15" hidden="false" customHeight="false" outlineLevel="0" collapsed="false">
      <c r="A114" s="12" t="n">
        <f aca="false">Claims_Data!A114</f>
        <v>100113</v>
      </c>
      <c r="B114" s="12" t="str">
        <f aca="false">Claims_Data!E114</f>
        <v>93000</v>
      </c>
      <c r="C114" s="12" t="str">
        <f aca="false">Claims_Data!D114</f>
        <v>Medicare</v>
      </c>
      <c r="D114" s="12" t="str">
        <f aca="false">Claims_Data!J114</f>
        <v>Paid</v>
      </c>
      <c r="E114" s="13" t="n">
        <f aca="false">Claims_Data!G114</f>
        <v>53.03</v>
      </c>
      <c r="F114" s="13" t="n">
        <f aca="false">Claims_Data!H114</f>
        <v>34.76</v>
      </c>
      <c r="G114" s="7" t="str">
        <f aca="false">VLOOKUP(C114,Reimbursement_Rates!$A$18:$B$22,2,FALSE())</f>
        <v>Medicare_Rate</v>
      </c>
      <c r="H114" s="14" t="n">
        <f aca="false">INDEX(Reimbursement_Rates!$A$1:$G$11,MATCH(B114,Reimbursement_Rates!$A$1:$A$11,0),MATCH(G114,Reimbursement_Rates!$A$1:$G$1,0))</f>
        <v>34</v>
      </c>
      <c r="I114" s="14" t="n">
        <f aca="false">F114-H114</f>
        <v>0.759999999999998</v>
      </c>
      <c r="J114" s="16" t="n">
        <f aca="false">IFERROR(I114/H114,0)</f>
        <v>0.0223529411764705</v>
      </c>
    </row>
    <row r="115" customFormat="false" ht="15" hidden="false" customHeight="false" outlineLevel="0" collapsed="false">
      <c r="A115" s="12" t="n">
        <f aca="false">Claims_Data!A115</f>
        <v>100114</v>
      </c>
      <c r="B115" s="12" t="str">
        <f aca="false">Claims_Data!E115</f>
        <v>99204</v>
      </c>
      <c r="C115" s="12" t="str">
        <f aca="false">Claims_Data!D115</f>
        <v>Commercial - Blue Shield</v>
      </c>
      <c r="D115" s="12" t="str">
        <f aca="false">Claims_Data!J115</f>
        <v>Paid</v>
      </c>
      <c r="E115" s="13" t="n">
        <f aca="false">Claims_Data!G115</f>
        <v>299.54</v>
      </c>
      <c r="F115" s="13" t="n">
        <f aca="false">Claims_Data!H115</f>
        <v>234.85</v>
      </c>
      <c r="G115" s="7" t="str">
        <f aca="false">VLOOKUP(C115,Reimbursement_Rates!$A$18:$B$22,2,FALSE())</f>
        <v>Commercial_Rate</v>
      </c>
      <c r="H115" s="14" t="n">
        <f aca="false">INDEX(Reimbursement_Rates!$A$1:$G$11,MATCH(B115,Reimbursement_Rates!$A$1:$A$11,0),MATCH(G115,Reimbursement_Rates!$A$1:$G$1,0))</f>
        <v>230</v>
      </c>
      <c r="I115" s="14" t="n">
        <f aca="false">F115-H115</f>
        <v>4.84999999999999</v>
      </c>
      <c r="J115" s="16" t="n">
        <f aca="false">IFERROR(I115/H115,0)</f>
        <v>0.0210869565217391</v>
      </c>
    </row>
    <row r="116" customFormat="false" ht="15" hidden="false" customHeight="false" outlineLevel="0" collapsed="false">
      <c r="A116" s="12" t="n">
        <f aca="false">Claims_Data!A116</f>
        <v>100115</v>
      </c>
      <c r="B116" s="12" t="str">
        <f aca="false">Claims_Data!E116</f>
        <v>93000</v>
      </c>
      <c r="C116" s="12" t="str">
        <f aca="false">Claims_Data!D116</f>
        <v>Commercial - Blue Shield</v>
      </c>
      <c r="D116" s="12" t="str">
        <f aca="false">Claims_Data!J116</f>
        <v>Paid</v>
      </c>
      <c r="E116" s="13" t="n">
        <f aca="false">Claims_Data!G116</f>
        <v>51.31</v>
      </c>
      <c r="F116" s="13" t="n">
        <f aca="false">Claims_Data!H116</f>
        <v>45.11</v>
      </c>
      <c r="G116" s="7" t="str">
        <f aca="false">VLOOKUP(C116,Reimbursement_Rates!$A$18:$B$22,2,FALSE())</f>
        <v>Commercial_Rate</v>
      </c>
      <c r="H116" s="14" t="n">
        <f aca="false">INDEX(Reimbursement_Rates!$A$1:$G$11,MATCH(B116,Reimbursement_Rates!$A$1:$A$11,0),MATCH(G116,Reimbursement_Rates!$A$1:$G$1,0))</f>
        <v>44</v>
      </c>
      <c r="I116" s="14" t="n">
        <f aca="false">F116-H116</f>
        <v>1.11</v>
      </c>
      <c r="J116" s="16" t="n">
        <f aca="false">IFERROR(I116/H116,0)</f>
        <v>0.0252272727272727</v>
      </c>
    </row>
    <row r="117" customFormat="false" ht="15" hidden="false" customHeight="false" outlineLevel="0" collapsed="false">
      <c r="A117" s="12" t="n">
        <f aca="false">Claims_Data!A117</f>
        <v>100116</v>
      </c>
      <c r="B117" s="12" t="str">
        <f aca="false">Claims_Data!E117</f>
        <v>99214</v>
      </c>
      <c r="C117" s="12" t="str">
        <f aca="false">Claims_Data!D117</f>
        <v>Commercial - Blue Shield</v>
      </c>
      <c r="D117" s="12" t="str">
        <f aca="false">Claims_Data!J117</f>
        <v>Paid</v>
      </c>
      <c r="E117" s="13" t="n">
        <f aca="false">Claims_Data!G117</f>
        <v>246.21</v>
      </c>
      <c r="F117" s="13" t="n">
        <f aca="false">Claims_Data!H117</f>
        <v>161.7</v>
      </c>
      <c r="G117" s="7" t="str">
        <f aca="false">VLOOKUP(C117,Reimbursement_Rates!$A$18:$B$22,2,FALSE())</f>
        <v>Commercial_Rate</v>
      </c>
      <c r="H117" s="14" t="n">
        <f aca="false">INDEX(Reimbursement_Rates!$A$1:$G$11,MATCH(B117,Reimbursement_Rates!$A$1:$A$11,0),MATCH(G117,Reimbursement_Rates!$A$1:$G$1,0))</f>
        <v>165</v>
      </c>
      <c r="I117" s="14" t="n">
        <f aca="false">F117-H117</f>
        <v>-3.30000000000001</v>
      </c>
      <c r="J117" s="16" t="n">
        <f aca="false">IFERROR(I117/H117,0)</f>
        <v>-0.0200000000000001</v>
      </c>
    </row>
    <row r="118" customFormat="false" ht="15" hidden="false" customHeight="false" outlineLevel="0" collapsed="false">
      <c r="A118" s="12" t="n">
        <f aca="false">Claims_Data!A118</f>
        <v>100117</v>
      </c>
      <c r="B118" s="12" t="str">
        <f aca="false">Claims_Data!E118</f>
        <v>90935</v>
      </c>
      <c r="C118" s="12" t="str">
        <f aca="false">Claims_Data!D118</f>
        <v>Medicare</v>
      </c>
      <c r="D118" s="12" t="str">
        <f aca="false">Claims_Data!J118</f>
        <v>Paid</v>
      </c>
      <c r="E118" s="13" t="n">
        <f aca="false">Claims_Data!G118</f>
        <v>218.7</v>
      </c>
      <c r="F118" s="13" t="n">
        <f aca="false">Claims_Data!H118</f>
        <v>141.92</v>
      </c>
      <c r="G118" s="7" t="str">
        <f aca="false">VLOOKUP(C118,Reimbursement_Rates!$A$18:$B$22,2,FALSE())</f>
        <v>Medicare_Rate</v>
      </c>
      <c r="H118" s="14" t="n">
        <f aca="false">INDEX(Reimbursement_Rates!$A$1:$G$11,MATCH(B118,Reimbursement_Rates!$A$1:$A$11,0),MATCH(G118,Reimbursement_Rates!$A$1:$G$1,0))</f>
        <v>145</v>
      </c>
      <c r="I118" s="14" t="n">
        <f aca="false">F118-H118</f>
        <v>-3.08000000000001</v>
      </c>
      <c r="J118" s="16" t="n">
        <f aca="false">IFERROR(I118/H118,0)</f>
        <v>-0.0212413793103449</v>
      </c>
    </row>
    <row r="119" customFormat="false" ht="15" hidden="false" customHeight="false" outlineLevel="0" collapsed="false">
      <c r="A119" s="12" t="n">
        <f aca="false">Claims_Data!A119</f>
        <v>100118</v>
      </c>
      <c r="B119" s="12" t="str">
        <f aca="false">Claims_Data!E119</f>
        <v>99215</v>
      </c>
      <c r="C119" s="12" t="str">
        <f aca="false">Claims_Data!D119</f>
        <v>Medicaid</v>
      </c>
      <c r="D119" s="12" t="str">
        <f aca="false">Claims_Data!J119</f>
        <v>Paid</v>
      </c>
      <c r="E119" s="13" t="n">
        <f aca="false">Claims_Data!G119</f>
        <v>143.45</v>
      </c>
      <c r="F119" s="13" t="n">
        <f aca="false">Claims_Data!H119</f>
        <v>119.12</v>
      </c>
      <c r="G119" s="7" t="str">
        <f aca="false">VLOOKUP(C119,Reimbursement_Rates!$A$18:$B$22,2,FALSE())</f>
        <v>Medicaid_Rate</v>
      </c>
      <c r="H119" s="14" t="n">
        <f aca="false">INDEX(Reimbursement_Rates!$A$1:$G$11,MATCH(B119,Reimbursement_Rates!$A$1:$A$11,0),MATCH(G119,Reimbursement_Rates!$A$1:$G$1,0))</f>
        <v>121</v>
      </c>
      <c r="I119" s="14" t="n">
        <f aca="false">F119-H119</f>
        <v>-1.88</v>
      </c>
      <c r="J119" s="16" t="n">
        <f aca="false">IFERROR(I119/H119,0)</f>
        <v>-0.0155371900826446</v>
      </c>
    </row>
    <row r="120" customFormat="false" ht="15" hidden="false" customHeight="false" outlineLevel="0" collapsed="false">
      <c r="A120" s="12" t="n">
        <f aca="false">Claims_Data!A120</f>
        <v>100119</v>
      </c>
      <c r="B120" s="12" t="str">
        <f aca="false">Claims_Data!E120</f>
        <v>99204</v>
      </c>
      <c r="C120" s="12" t="str">
        <f aca="false">Claims_Data!D120</f>
        <v>Commercial - Blue Shield</v>
      </c>
      <c r="D120" s="12" t="str">
        <f aca="false">Claims_Data!J120</f>
        <v>Paid</v>
      </c>
      <c r="E120" s="13" t="n">
        <f aca="false">Claims_Data!G120</f>
        <v>312.07</v>
      </c>
      <c r="F120" s="13" t="n">
        <f aca="false">Claims_Data!H120</f>
        <v>257.55</v>
      </c>
      <c r="G120" s="7" t="str">
        <f aca="false">VLOOKUP(C120,Reimbursement_Rates!$A$18:$B$22,2,FALSE())</f>
        <v>Commercial_Rate</v>
      </c>
      <c r="H120" s="14" t="n">
        <f aca="false">INDEX(Reimbursement_Rates!$A$1:$G$11,MATCH(B120,Reimbursement_Rates!$A$1:$A$11,0),MATCH(G120,Reimbursement_Rates!$A$1:$G$1,0))</f>
        <v>230</v>
      </c>
      <c r="I120" s="14" t="n">
        <f aca="false">F120-H120</f>
        <v>27.55</v>
      </c>
      <c r="J120" s="16" t="n">
        <f aca="false">IFERROR(I120/H120,0)</f>
        <v>0.119782608695652</v>
      </c>
    </row>
    <row r="121" customFormat="false" ht="15" hidden="false" customHeight="false" outlineLevel="0" collapsed="false">
      <c r="A121" s="12" t="n">
        <f aca="false">Claims_Data!A121</f>
        <v>100120</v>
      </c>
      <c r="B121" s="12" t="str">
        <f aca="false">Claims_Data!E121</f>
        <v>80053</v>
      </c>
      <c r="C121" s="12" t="str">
        <f aca="false">Claims_Data!D121</f>
        <v>Medicare</v>
      </c>
      <c r="D121" s="12" t="str">
        <f aca="false">Claims_Data!J121</f>
        <v>Pending</v>
      </c>
      <c r="E121" s="13" t="n">
        <f aca="false">Claims_Data!G121</f>
        <v>33.08</v>
      </c>
      <c r="F121" s="13" t="n">
        <f aca="false">Claims_Data!H121</f>
        <v>0</v>
      </c>
      <c r="G121" s="7" t="str">
        <f aca="false">VLOOKUP(C121,Reimbursement_Rates!$A$18:$B$22,2,FALSE())</f>
        <v>Medicare_Rate</v>
      </c>
      <c r="H121" s="14" t="n">
        <f aca="false">INDEX(Reimbursement_Rates!$A$1:$G$11,MATCH(B121,Reimbursement_Rates!$A$1:$A$11,0),MATCH(G121,Reimbursement_Rates!$A$1:$G$1,0))</f>
        <v>21</v>
      </c>
      <c r="I121" s="14" t="n">
        <f aca="false">F121-H121</f>
        <v>-21</v>
      </c>
      <c r="J121" s="16" t="n">
        <f aca="false">IFERROR(I121/H121,0)</f>
        <v>-1</v>
      </c>
    </row>
    <row r="122" customFormat="false" ht="15" hidden="false" customHeight="false" outlineLevel="0" collapsed="false">
      <c r="A122" s="12" t="n">
        <f aca="false">Claims_Data!A122</f>
        <v>100121</v>
      </c>
      <c r="B122" s="12" t="str">
        <f aca="false">Claims_Data!E122</f>
        <v>80053</v>
      </c>
      <c r="C122" s="12" t="str">
        <f aca="false">Claims_Data!D122</f>
        <v>Kaiser HMO</v>
      </c>
      <c r="D122" s="12" t="str">
        <f aca="false">Claims_Data!J122</f>
        <v>Paid</v>
      </c>
      <c r="E122" s="13" t="n">
        <f aca="false">Claims_Data!G122</f>
        <v>33.67</v>
      </c>
      <c r="F122" s="13" t="n">
        <f aca="false">Claims_Data!H122</f>
        <v>21.98</v>
      </c>
      <c r="G122" s="7" t="str">
        <f aca="false">VLOOKUP(C122,Reimbursement_Rates!$A$18:$B$22,2,FALSE())</f>
        <v>Kaiser_HMO_Rate</v>
      </c>
      <c r="H122" s="14" t="n">
        <f aca="false">INDEX(Reimbursement_Rates!$A$1:$G$11,MATCH(B122,Reimbursement_Rates!$A$1:$A$11,0),MATCH(G122,Reimbursement_Rates!$A$1:$G$1,0))</f>
        <v>22</v>
      </c>
      <c r="I122" s="14" t="n">
        <f aca="false">F122-H122</f>
        <v>-0.0199999999999996</v>
      </c>
      <c r="J122" s="16" t="n">
        <f aca="false">IFERROR(I122/H122,0)</f>
        <v>-0.00090909090909089</v>
      </c>
    </row>
    <row r="123" customFormat="false" ht="15" hidden="false" customHeight="false" outlineLevel="0" collapsed="false">
      <c r="A123" s="12" t="n">
        <f aca="false">Claims_Data!A123</f>
        <v>100122</v>
      </c>
      <c r="B123" s="12" t="str">
        <f aca="false">Claims_Data!E123</f>
        <v>90935</v>
      </c>
      <c r="C123" s="12" t="str">
        <f aca="false">Claims_Data!D123</f>
        <v>Commercial - Aetna</v>
      </c>
      <c r="D123" s="12" t="str">
        <f aca="false">Claims_Data!J123</f>
        <v>Pending</v>
      </c>
      <c r="E123" s="13" t="n">
        <f aca="false">Claims_Data!G123</f>
        <v>263.42</v>
      </c>
      <c r="F123" s="13" t="n">
        <f aca="false">Claims_Data!H123</f>
        <v>0</v>
      </c>
      <c r="G123" s="7" t="str">
        <f aca="false">VLOOKUP(C123,Reimbursement_Rates!$A$18:$B$22,2,FALSE())</f>
        <v>Commercial_Rate</v>
      </c>
      <c r="H123" s="14" t="n">
        <f aca="false">INDEX(Reimbursement_Rates!$A$1:$G$11,MATCH(B123,Reimbursement_Rates!$A$1:$A$11,0),MATCH(G123,Reimbursement_Rates!$A$1:$G$1,0))</f>
        <v>187</v>
      </c>
      <c r="I123" s="14" t="n">
        <f aca="false">F123-H123</f>
        <v>-187</v>
      </c>
      <c r="J123" s="16" t="n">
        <f aca="false">IFERROR(I123/H123,0)</f>
        <v>-1</v>
      </c>
    </row>
    <row r="124" customFormat="false" ht="15" hidden="false" customHeight="false" outlineLevel="0" collapsed="false">
      <c r="A124" s="12" t="n">
        <f aca="false">Claims_Data!A124</f>
        <v>100123</v>
      </c>
      <c r="B124" s="12" t="str">
        <f aca="false">Claims_Data!E124</f>
        <v>99204</v>
      </c>
      <c r="C124" s="12" t="str">
        <f aca="false">Claims_Data!D124</f>
        <v>Commercial - Blue Shield</v>
      </c>
      <c r="D124" s="12" t="str">
        <f aca="false">Claims_Data!J124</f>
        <v>Paid</v>
      </c>
      <c r="E124" s="13" t="n">
        <f aca="false">Claims_Data!G124</f>
        <v>265.34</v>
      </c>
      <c r="F124" s="13" t="n">
        <f aca="false">Claims_Data!H124</f>
        <v>205.79</v>
      </c>
      <c r="G124" s="7" t="str">
        <f aca="false">VLOOKUP(C124,Reimbursement_Rates!$A$18:$B$22,2,FALSE())</f>
        <v>Commercial_Rate</v>
      </c>
      <c r="H124" s="14" t="n">
        <f aca="false">INDEX(Reimbursement_Rates!$A$1:$G$11,MATCH(B124,Reimbursement_Rates!$A$1:$A$11,0),MATCH(G124,Reimbursement_Rates!$A$1:$G$1,0))</f>
        <v>230</v>
      </c>
      <c r="I124" s="14" t="n">
        <f aca="false">F124-H124</f>
        <v>-24.21</v>
      </c>
      <c r="J124" s="16" t="n">
        <f aca="false">IFERROR(I124/H124,0)</f>
        <v>-0.105260869565217</v>
      </c>
    </row>
    <row r="125" customFormat="false" ht="15" hidden="false" customHeight="false" outlineLevel="0" collapsed="false">
      <c r="A125" s="12" t="n">
        <f aca="false">Claims_Data!A125</f>
        <v>100124</v>
      </c>
      <c r="B125" s="12" t="str">
        <f aca="false">Claims_Data!E125</f>
        <v>71046</v>
      </c>
      <c r="C125" s="12" t="str">
        <f aca="false">Claims_Data!D125</f>
        <v>Medicaid</v>
      </c>
      <c r="D125" s="12" t="str">
        <f aca="false">Claims_Data!J125</f>
        <v>Paid</v>
      </c>
      <c r="E125" s="13" t="n">
        <f aca="false">Claims_Data!G125</f>
        <v>48.35</v>
      </c>
      <c r="F125" s="13" t="n">
        <f aca="false">Claims_Data!H125</f>
        <v>31.52</v>
      </c>
      <c r="G125" s="7" t="str">
        <f aca="false">VLOOKUP(C125,Reimbursement_Rates!$A$18:$B$22,2,FALSE())</f>
        <v>Medicaid_Rate</v>
      </c>
      <c r="H125" s="14" t="n">
        <f aca="false">INDEX(Reimbursement_Rates!$A$1:$G$11,MATCH(B125,Reimbursement_Rates!$A$1:$A$11,0),MATCH(G125,Reimbursement_Rates!$A$1:$G$1,0))</f>
        <v>32</v>
      </c>
      <c r="I125" s="14" t="n">
        <f aca="false">F125-H125</f>
        <v>-0.48</v>
      </c>
      <c r="J125" s="16" t="n">
        <f aca="false">IFERROR(I125/H125,0)</f>
        <v>-0.015</v>
      </c>
    </row>
    <row r="126" customFormat="false" ht="15" hidden="false" customHeight="false" outlineLevel="0" collapsed="false">
      <c r="A126" s="12" t="n">
        <f aca="false">Claims_Data!A126</f>
        <v>100125</v>
      </c>
      <c r="B126" s="12" t="str">
        <f aca="false">Claims_Data!E126</f>
        <v>99204</v>
      </c>
      <c r="C126" s="12" t="str">
        <f aca="false">Claims_Data!D126</f>
        <v>Medicare</v>
      </c>
      <c r="D126" s="12" t="str">
        <f aca="false">Claims_Data!J126</f>
        <v>Paid</v>
      </c>
      <c r="E126" s="13" t="n">
        <f aca="false">Claims_Data!G126</f>
        <v>267.87</v>
      </c>
      <c r="F126" s="13" t="n">
        <f aca="false">Claims_Data!H126</f>
        <v>174.06</v>
      </c>
      <c r="G126" s="7" t="str">
        <f aca="false">VLOOKUP(C126,Reimbursement_Rates!$A$18:$B$22,2,FALSE())</f>
        <v>Medicare_Rate</v>
      </c>
      <c r="H126" s="14" t="n">
        <f aca="false">INDEX(Reimbursement_Rates!$A$1:$G$11,MATCH(B126,Reimbursement_Rates!$A$1:$A$11,0),MATCH(G126,Reimbursement_Rates!$A$1:$G$1,0))</f>
        <v>178</v>
      </c>
      <c r="I126" s="14" t="n">
        <f aca="false">F126-H126</f>
        <v>-3.94</v>
      </c>
      <c r="J126" s="16" t="n">
        <f aca="false">IFERROR(I126/H126,0)</f>
        <v>-0.0221348314606741</v>
      </c>
    </row>
    <row r="127" customFormat="false" ht="15" hidden="false" customHeight="false" outlineLevel="0" collapsed="false">
      <c r="A127" s="12" t="n">
        <f aca="false">Claims_Data!A127</f>
        <v>100126</v>
      </c>
      <c r="B127" s="12" t="str">
        <f aca="false">Claims_Data!E127</f>
        <v>99215</v>
      </c>
      <c r="C127" s="12" t="str">
        <f aca="false">Claims_Data!D127</f>
        <v>Commercial - Blue Shield</v>
      </c>
      <c r="D127" s="12" t="str">
        <f aca="false">Claims_Data!J127</f>
        <v>Paid</v>
      </c>
      <c r="E127" s="13" t="n">
        <f aca="false">Claims_Data!G127</f>
        <v>292.72</v>
      </c>
      <c r="F127" s="13" t="n">
        <f aca="false">Claims_Data!H127</f>
        <v>260.75</v>
      </c>
      <c r="G127" s="7" t="str">
        <f aca="false">VLOOKUP(C127,Reimbursement_Rates!$A$18:$B$22,2,FALSE())</f>
        <v>Commercial_Rate</v>
      </c>
      <c r="H127" s="14" t="n">
        <f aca="false">INDEX(Reimbursement_Rates!$A$1:$G$11,MATCH(B127,Reimbursement_Rates!$A$1:$A$11,0),MATCH(G127,Reimbursement_Rates!$A$1:$G$1,0))</f>
        <v>236</v>
      </c>
      <c r="I127" s="14" t="n">
        <f aca="false">F127-H127</f>
        <v>24.75</v>
      </c>
      <c r="J127" s="16" t="n">
        <f aca="false">IFERROR(I127/H127,0)</f>
        <v>0.104872881355932</v>
      </c>
    </row>
    <row r="128" customFormat="false" ht="15" hidden="false" customHeight="false" outlineLevel="0" collapsed="false">
      <c r="A128" s="12" t="n">
        <f aca="false">Claims_Data!A128</f>
        <v>100127</v>
      </c>
      <c r="B128" s="12" t="str">
        <f aca="false">Claims_Data!E128</f>
        <v>99204</v>
      </c>
      <c r="C128" s="12" t="str">
        <f aca="false">Claims_Data!D128</f>
        <v>Medicaid</v>
      </c>
      <c r="D128" s="12" t="str">
        <f aca="false">Claims_Data!J128</f>
        <v>Denied</v>
      </c>
      <c r="E128" s="13" t="n">
        <f aca="false">Claims_Data!G128</f>
        <v>184.24</v>
      </c>
      <c r="F128" s="13" t="n">
        <f aca="false">Claims_Data!H128</f>
        <v>0</v>
      </c>
      <c r="G128" s="7" t="str">
        <f aca="false">VLOOKUP(C128,Reimbursement_Rates!$A$18:$B$22,2,FALSE())</f>
        <v>Medicaid_Rate</v>
      </c>
      <c r="H128" s="14" t="n">
        <f aca="false">INDEX(Reimbursement_Rates!$A$1:$G$11,MATCH(B128,Reimbursement_Rates!$A$1:$A$11,0),MATCH(G128,Reimbursement_Rates!$A$1:$G$1,0))</f>
        <v>118</v>
      </c>
      <c r="I128" s="14" t="n">
        <f aca="false">F128-H128</f>
        <v>-118</v>
      </c>
      <c r="J128" s="16" t="n">
        <f aca="false">IFERROR(I128/H128,0)</f>
        <v>-1</v>
      </c>
    </row>
    <row r="129" customFormat="false" ht="15" hidden="false" customHeight="false" outlineLevel="0" collapsed="false">
      <c r="A129" s="12" t="n">
        <f aca="false">Claims_Data!A129</f>
        <v>100128</v>
      </c>
      <c r="B129" s="12" t="str">
        <f aca="false">Claims_Data!E129</f>
        <v>99214</v>
      </c>
      <c r="C129" s="12" t="str">
        <f aca="false">Claims_Data!D129</f>
        <v>Commercial - Blue Shield</v>
      </c>
      <c r="D129" s="12" t="str">
        <f aca="false">Claims_Data!J129</f>
        <v>Denied</v>
      </c>
      <c r="E129" s="13" t="n">
        <f aca="false">Claims_Data!G129</f>
        <v>200.2</v>
      </c>
      <c r="F129" s="13" t="n">
        <f aca="false">Claims_Data!H129</f>
        <v>0</v>
      </c>
      <c r="G129" s="7" t="str">
        <f aca="false">VLOOKUP(C129,Reimbursement_Rates!$A$18:$B$22,2,FALSE())</f>
        <v>Commercial_Rate</v>
      </c>
      <c r="H129" s="14" t="n">
        <f aca="false">INDEX(Reimbursement_Rates!$A$1:$G$11,MATCH(B129,Reimbursement_Rates!$A$1:$A$11,0),MATCH(G129,Reimbursement_Rates!$A$1:$G$1,0))</f>
        <v>165</v>
      </c>
      <c r="I129" s="14" t="n">
        <f aca="false">F129-H129</f>
        <v>-165</v>
      </c>
      <c r="J129" s="16" t="n">
        <f aca="false">IFERROR(I129/H129,0)</f>
        <v>-1</v>
      </c>
    </row>
    <row r="130" customFormat="false" ht="15" hidden="false" customHeight="false" outlineLevel="0" collapsed="false">
      <c r="A130" s="12" t="n">
        <f aca="false">Claims_Data!A130</f>
        <v>100129</v>
      </c>
      <c r="B130" s="12" t="str">
        <f aca="false">Claims_Data!E130</f>
        <v>99213</v>
      </c>
      <c r="C130" s="12" t="str">
        <f aca="false">Claims_Data!D130</f>
        <v>Commercial - Blue Shield</v>
      </c>
      <c r="D130" s="12" t="str">
        <f aca="false">Claims_Data!J130</f>
        <v>Paid</v>
      </c>
      <c r="E130" s="13" t="n">
        <f aca="false">Claims_Data!G130</f>
        <v>149.74</v>
      </c>
      <c r="F130" s="13" t="n">
        <f aca="false">Claims_Data!H130</f>
        <v>119.76</v>
      </c>
      <c r="G130" s="7" t="str">
        <f aca="false">VLOOKUP(C130,Reimbursement_Rates!$A$18:$B$22,2,FALSE())</f>
        <v>Commercial_Rate</v>
      </c>
      <c r="H130" s="14" t="n">
        <f aca="false">INDEX(Reimbursement_Rates!$A$1:$G$11,MATCH(B130,Reimbursement_Rates!$A$1:$A$11,0),MATCH(G130,Reimbursement_Rates!$A$1:$G$1,0))</f>
        <v>118</v>
      </c>
      <c r="I130" s="14" t="n">
        <f aca="false">F130-H130</f>
        <v>1.76000000000001</v>
      </c>
      <c r="J130" s="16" t="n">
        <f aca="false">IFERROR(I130/H130,0)</f>
        <v>0.0149152542372882</v>
      </c>
    </row>
    <row r="131" customFormat="false" ht="15" hidden="false" customHeight="false" outlineLevel="0" collapsed="false">
      <c r="A131" s="12" t="n">
        <f aca="false">Claims_Data!A131</f>
        <v>100130</v>
      </c>
      <c r="B131" s="12" t="str">
        <f aca="false">Claims_Data!E131</f>
        <v>99214</v>
      </c>
      <c r="C131" s="12" t="str">
        <f aca="false">Claims_Data!D131</f>
        <v>Kaiser HMO</v>
      </c>
      <c r="D131" s="12" t="str">
        <f aca="false">Claims_Data!J131</f>
        <v>Paid</v>
      </c>
      <c r="E131" s="13" t="n">
        <f aca="false">Claims_Data!G131</f>
        <v>199.15</v>
      </c>
      <c r="F131" s="13" t="n">
        <f aca="false">Claims_Data!H131</f>
        <v>140.64</v>
      </c>
      <c r="G131" s="7" t="str">
        <f aca="false">VLOOKUP(C131,Reimbursement_Rates!$A$18:$B$22,2,FALSE())</f>
        <v>Kaiser_HMO_Rate</v>
      </c>
      <c r="H131" s="14" t="n">
        <f aca="false">INDEX(Reimbursement_Rates!$A$1:$G$11,MATCH(B131,Reimbursement_Rates!$A$1:$A$11,0),MATCH(G131,Reimbursement_Rates!$A$1:$G$1,0))</f>
        <v>137</v>
      </c>
      <c r="I131" s="14" t="n">
        <f aca="false">F131-H131</f>
        <v>3.63999999999999</v>
      </c>
      <c r="J131" s="16" t="n">
        <f aca="false">IFERROR(I131/H131,0)</f>
        <v>0.0265693430656933</v>
      </c>
    </row>
    <row r="132" customFormat="false" ht="15" hidden="false" customHeight="false" outlineLevel="0" collapsed="false">
      <c r="A132" s="12" t="n">
        <f aca="false">Claims_Data!A132</f>
        <v>100131</v>
      </c>
      <c r="B132" s="12" t="str">
        <f aca="false">Claims_Data!E132</f>
        <v>80053</v>
      </c>
      <c r="C132" s="12" t="str">
        <f aca="false">Claims_Data!D132</f>
        <v>Medicare</v>
      </c>
      <c r="D132" s="12" t="str">
        <f aca="false">Claims_Data!J132</f>
        <v>Paid</v>
      </c>
      <c r="E132" s="13" t="n">
        <f aca="false">Claims_Data!G132</f>
        <v>32.74</v>
      </c>
      <c r="F132" s="13" t="n">
        <f aca="false">Claims_Data!H132</f>
        <v>20.55</v>
      </c>
      <c r="G132" s="7" t="str">
        <f aca="false">VLOOKUP(C132,Reimbursement_Rates!$A$18:$B$22,2,FALSE())</f>
        <v>Medicare_Rate</v>
      </c>
      <c r="H132" s="14" t="n">
        <f aca="false">INDEX(Reimbursement_Rates!$A$1:$G$11,MATCH(B132,Reimbursement_Rates!$A$1:$A$11,0),MATCH(G132,Reimbursement_Rates!$A$1:$G$1,0))</f>
        <v>21</v>
      </c>
      <c r="I132" s="14" t="n">
        <f aca="false">F132-H132</f>
        <v>-0.449999999999999</v>
      </c>
      <c r="J132" s="16" t="n">
        <f aca="false">IFERROR(I132/H132,0)</f>
        <v>-0.0214285714285714</v>
      </c>
    </row>
    <row r="133" customFormat="false" ht="15" hidden="false" customHeight="false" outlineLevel="0" collapsed="false">
      <c r="A133" s="12" t="n">
        <f aca="false">Claims_Data!A133</f>
        <v>100132</v>
      </c>
      <c r="B133" s="12" t="str">
        <f aca="false">Claims_Data!E133</f>
        <v>99214</v>
      </c>
      <c r="C133" s="12" t="str">
        <f aca="false">Claims_Data!D133</f>
        <v>Commercial - Blue Shield</v>
      </c>
      <c r="D133" s="12" t="str">
        <f aca="false">Claims_Data!J133</f>
        <v>Paid</v>
      </c>
      <c r="E133" s="13" t="n">
        <f aca="false">Claims_Data!G133</f>
        <v>196.97</v>
      </c>
      <c r="F133" s="13" t="n">
        <f aca="false">Claims_Data!H133</f>
        <v>164.54</v>
      </c>
      <c r="G133" s="7" t="str">
        <f aca="false">VLOOKUP(C133,Reimbursement_Rates!$A$18:$B$22,2,FALSE())</f>
        <v>Commercial_Rate</v>
      </c>
      <c r="H133" s="14" t="n">
        <f aca="false">INDEX(Reimbursement_Rates!$A$1:$G$11,MATCH(B133,Reimbursement_Rates!$A$1:$A$11,0),MATCH(G133,Reimbursement_Rates!$A$1:$G$1,0))</f>
        <v>165</v>
      </c>
      <c r="I133" s="14" t="n">
        <f aca="false">F133-H133</f>
        <v>-0.460000000000008</v>
      </c>
      <c r="J133" s="16" t="n">
        <f aca="false">IFERROR(I133/H133,0)</f>
        <v>-0.00278787878787884</v>
      </c>
    </row>
    <row r="134" customFormat="false" ht="15" hidden="false" customHeight="false" outlineLevel="0" collapsed="false">
      <c r="A134" s="12" t="n">
        <f aca="false">Claims_Data!A134</f>
        <v>100133</v>
      </c>
      <c r="B134" s="12" t="str">
        <f aca="false">Claims_Data!E134</f>
        <v>99214</v>
      </c>
      <c r="C134" s="12" t="str">
        <f aca="false">Claims_Data!D134</f>
        <v>Commercial - Blue Shield</v>
      </c>
      <c r="D134" s="12" t="str">
        <f aca="false">Claims_Data!J134</f>
        <v>Paid</v>
      </c>
      <c r="E134" s="13" t="n">
        <f aca="false">Claims_Data!G134</f>
        <v>251.65</v>
      </c>
      <c r="F134" s="13" t="n">
        <f aca="false">Claims_Data!H134</f>
        <v>180.17</v>
      </c>
      <c r="G134" s="7" t="str">
        <f aca="false">VLOOKUP(C134,Reimbursement_Rates!$A$18:$B$22,2,FALSE())</f>
        <v>Commercial_Rate</v>
      </c>
      <c r="H134" s="14" t="n">
        <f aca="false">INDEX(Reimbursement_Rates!$A$1:$G$11,MATCH(B134,Reimbursement_Rates!$A$1:$A$11,0),MATCH(G134,Reimbursement_Rates!$A$1:$G$1,0))</f>
        <v>165</v>
      </c>
      <c r="I134" s="14" t="n">
        <f aca="false">F134-H134</f>
        <v>15.17</v>
      </c>
      <c r="J134" s="16" t="n">
        <f aca="false">IFERROR(I134/H134,0)</f>
        <v>0.0919393939393939</v>
      </c>
    </row>
    <row r="135" customFormat="false" ht="15" hidden="false" customHeight="false" outlineLevel="0" collapsed="false">
      <c r="A135" s="12" t="n">
        <f aca="false">Claims_Data!A135</f>
        <v>100134</v>
      </c>
      <c r="B135" s="12" t="str">
        <f aca="false">Claims_Data!E135</f>
        <v>80053</v>
      </c>
      <c r="C135" s="12" t="str">
        <f aca="false">Claims_Data!D135</f>
        <v>Commercial - Blue Shield</v>
      </c>
      <c r="D135" s="12" t="str">
        <f aca="false">Claims_Data!J135</f>
        <v>Paid</v>
      </c>
      <c r="E135" s="13" t="n">
        <f aca="false">Claims_Data!G135</f>
        <v>42.6</v>
      </c>
      <c r="F135" s="13" t="n">
        <f aca="false">Claims_Data!H135</f>
        <v>27.3</v>
      </c>
      <c r="G135" s="7" t="str">
        <f aca="false">VLOOKUP(C135,Reimbursement_Rates!$A$18:$B$22,2,FALSE())</f>
        <v>Commercial_Rate</v>
      </c>
      <c r="H135" s="14" t="n">
        <f aca="false">INDEX(Reimbursement_Rates!$A$1:$G$11,MATCH(B135,Reimbursement_Rates!$A$1:$A$11,0),MATCH(G135,Reimbursement_Rates!$A$1:$G$1,0))</f>
        <v>27</v>
      </c>
      <c r="I135" s="14" t="n">
        <f aca="false">F135-H135</f>
        <v>0.300000000000001</v>
      </c>
      <c r="J135" s="16" t="n">
        <f aca="false">IFERROR(I135/H135,0)</f>
        <v>0.0111111111111111</v>
      </c>
    </row>
    <row r="136" customFormat="false" ht="15" hidden="false" customHeight="false" outlineLevel="0" collapsed="false">
      <c r="A136" s="12" t="n">
        <f aca="false">Claims_Data!A136</f>
        <v>100135</v>
      </c>
      <c r="B136" s="12" t="str">
        <f aca="false">Claims_Data!E136</f>
        <v>99204</v>
      </c>
      <c r="C136" s="12" t="str">
        <f aca="false">Claims_Data!D136</f>
        <v>Commercial - Blue Shield</v>
      </c>
      <c r="D136" s="12" t="str">
        <f aca="false">Claims_Data!J136</f>
        <v>Paid</v>
      </c>
      <c r="E136" s="13" t="n">
        <f aca="false">Claims_Data!G136</f>
        <v>284.15</v>
      </c>
      <c r="F136" s="13" t="n">
        <f aca="false">Claims_Data!H136</f>
        <v>181.92</v>
      </c>
      <c r="G136" s="7" t="str">
        <f aca="false">VLOOKUP(C136,Reimbursement_Rates!$A$18:$B$22,2,FALSE())</f>
        <v>Commercial_Rate</v>
      </c>
      <c r="H136" s="14" t="n">
        <f aca="false">INDEX(Reimbursement_Rates!$A$1:$G$11,MATCH(B136,Reimbursement_Rates!$A$1:$A$11,0),MATCH(G136,Reimbursement_Rates!$A$1:$G$1,0))</f>
        <v>230</v>
      </c>
      <c r="I136" s="14" t="n">
        <f aca="false">F136-H136</f>
        <v>-48.08</v>
      </c>
      <c r="J136" s="16" t="n">
        <f aca="false">IFERROR(I136/H136,0)</f>
        <v>-0.20904347826087</v>
      </c>
    </row>
    <row r="137" customFormat="false" ht="15" hidden="false" customHeight="false" outlineLevel="0" collapsed="false">
      <c r="A137" s="12" t="n">
        <f aca="false">Claims_Data!A137</f>
        <v>100136</v>
      </c>
      <c r="B137" s="12" t="str">
        <f aca="false">Claims_Data!E137</f>
        <v>90935</v>
      </c>
      <c r="C137" s="12" t="str">
        <f aca="false">Claims_Data!D137</f>
        <v>Medicare</v>
      </c>
      <c r="D137" s="12" t="str">
        <f aca="false">Claims_Data!J137</f>
        <v>Paid</v>
      </c>
      <c r="E137" s="13" t="n">
        <f aca="false">Claims_Data!G137</f>
        <v>182.64</v>
      </c>
      <c r="F137" s="13" t="n">
        <f aca="false">Claims_Data!H137</f>
        <v>141.25</v>
      </c>
      <c r="G137" s="7" t="str">
        <f aca="false">VLOOKUP(C137,Reimbursement_Rates!$A$18:$B$22,2,FALSE())</f>
        <v>Medicare_Rate</v>
      </c>
      <c r="H137" s="14" t="n">
        <f aca="false">INDEX(Reimbursement_Rates!$A$1:$G$11,MATCH(B137,Reimbursement_Rates!$A$1:$A$11,0),MATCH(G137,Reimbursement_Rates!$A$1:$G$1,0))</f>
        <v>145</v>
      </c>
      <c r="I137" s="14" t="n">
        <f aca="false">F137-H137</f>
        <v>-3.75</v>
      </c>
      <c r="J137" s="16" t="n">
        <f aca="false">IFERROR(I137/H137,0)</f>
        <v>-0.0258620689655172</v>
      </c>
    </row>
    <row r="138" customFormat="false" ht="15" hidden="false" customHeight="false" outlineLevel="0" collapsed="false">
      <c r="A138" s="12" t="n">
        <f aca="false">Claims_Data!A138</f>
        <v>100137</v>
      </c>
      <c r="B138" s="12" t="str">
        <f aca="false">Claims_Data!E138</f>
        <v>90935</v>
      </c>
      <c r="C138" s="12" t="str">
        <f aca="false">Claims_Data!D138</f>
        <v>Medicaid</v>
      </c>
      <c r="D138" s="12" t="str">
        <f aca="false">Claims_Data!J138</f>
        <v>Paid</v>
      </c>
      <c r="E138" s="13" t="n">
        <f aca="false">Claims_Data!G138</f>
        <v>143.85</v>
      </c>
      <c r="F138" s="13" t="n">
        <f aca="false">Claims_Data!H138</f>
        <v>94.72</v>
      </c>
      <c r="G138" s="7" t="str">
        <f aca="false">VLOOKUP(C138,Reimbursement_Rates!$A$18:$B$22,2,FALSE())</f>
        <v>Medicaid_Rate</v>
      </c>
      <c r="H138" s="14" t="n">
        <f aca="false">INDEX(Reimbursement_Rates!$A$1:$G$11,MATCH(B138,Reimbursement_Rates!$A$1:$A$11,0),MATCH(G138,Reimbursement_Rates!$A$1:$G$1,0))</f>
        <v>96</v>
      </c>
      <c r="I138" s="14" t="n">
        <f aca="false">F138-H138</f>
        <v>-1.28</v>
      </c>
      <c r="J138" s="16" t="n">
        <f aca="false">IFERROR(I138/H138,0)</f>
        <v>-0.0133333333333333</v>
      </c>
    </row>
    <row r="139" customFormat="false" ht="15" hidden="false" customHeight="false" outlineLevel="0" collapsed="false">
      <c r="A139" s="12" t="n">
        <f aca="false">Claims_Data!A139</f>
        <v>100138</v>
      </c>
      <c r="B139" s="12" t="str">
        <f aca="false">Claims_Data!E139</f>
        <v>99204</v>
      </c>
      <c r="C139" s="12" t="str">
        <f aca="false">Claims_Data!D139</f>
        <v>Commercial - Aetna</v>
      </c>
      <c r="D139" s="12" t="str">
        <f aca="false">Claims_Data!J139</f>
        <v>Paid</v>
      </c>
      <c r="E139" s="13" t="n">
        <f aca="false">Claims_Data!G139</f>
        <v>347.15</v>
      </c>
      <c r="F139" s="13" t="n">
        <f aca="false">Claims_Data!H139</f>
        <v>246.05</v>
      </c>
      <c r="G139" s="7" t="str">
        <f aca="false">VLOOKUP(C139,Reimbursement_Rates!$A$18:$B$22,2,FALSE())</f>
        <v>Commercial_Rate</v>
      </c>
      <c r="H139" s="14" t="n">
        <f aca="false">INDEX(Reimbursement_Rates!$A$1:$G$11,MATCH(B139,Reimbursement_Rates!$A$1:$A$11,0),MATCH(G139,Reimbursement_Rates!$A$1:$G$1,0))</f>
        <v>230</v>
      </c>
      <c r="I139" s="14" t="n">
        <f aca="false">F139-H139</f>
        <v>16.05</v>
      </c>
      <c r="J139" s="16" t="n">
        <f aca="false">IFERROR(I139/H139,0)</f>
        <v>0.0697826086956522</v>
      </c>
    </row>
    <row r="140" customFormat="false" ht="15" hidden="false" customHeight="false" outlineLevel="0" collapsed="false">
      <c r="A140" s="12" t="n">
        <f aca="false">Claims_Data!A140</f>
        <v>100139</v>
      </c>
      <c r="B140" s="12" t="str">
        <f aca="false">Claims_Data!E140</f>
        <v>90935</v>
      </c>
      <c r="C140" s="12" t="str">
        <f aca="false">Claims_Data!D140</f>
        <v>Commercial - Aetna</v>
      </c>
      <c r="D140" s="12" t="str">
        <f aca="false">Claims_Data!J140</f>
        <v>Paid</v>
      </c>
      <c r="E140" s="13" t="n">
        <f aca="false">Claims_Data!G140</f>
        <v>216.38</v>
      </c>
      <c r="F140" s="13" t="n">
        <f aca="false">Claims_Data!H140</f>
        <v>186.11</v>
      </c>
      <c r="G140" s="7" t="str">
        <f aca="false">VLOOKUP(C140,Reimbursement_Rates!$A$18:$B$22,2,FALSE())</f>
        <v>Commercial_Rate</v>
      </c>
      <c r="H140" s="14" t="n">
        <f aca="false">INDEX(Reimbursement_Rates!$A$1:$G$11,MATCH(B140,Reimbursement_Rates!$A$1:$A$11,0),MATCH(G140,Reimbursement_Rates!$A$1:$G$1,0))</f>
        <v>187</v>
      </c>
      <c r="I140" s="14" t="n">
        <f aca="false">F140-H140</f>
        <v>-0.889999999999986</v>
      </c>
      <c r="J140" s="16" t="n">
        <f aca="false">IFERROR(I140/H140,0)</f>
        <v>-0.00475935828876998</v>
      </c>
    </row>
    <row r="141" customFormat="false" ht="15" hidden="false" customHeight="false" outlineLevel="0" collapsed="false">
      <c r="A141" s="12" t="n">
        <f aca="false">Claims_Data!A141</f>
        <v>100140</v>
      </c>
      <c r="B141" s="12" t="str">
        <f aca="false">Claims_Data!E141</f>
        <v>80053</v>
      </c>
      <c r="C141" s="12" t="str">
        <f aca="false">Claims_Data!D141</f>
        <v>Commercial - Blue Shield</v>
      </c>
      <c r="D141" s="12" t="str">
        <f aca="false">Claims_Data!J141</f>
        <v>Paid</v>
      </c>
      <c r="E141" s="13" t="n">
        <f aca="false">Claims_Data!G141</f>
        <v>40.5</v>
      </c>
      <c r="F141" s="13" t="n">
        <f aca="false">Claims_Data!H141</f>
        <v>27.01</v>
      </c>
      <c r="G141" s="7" t="str">
        <f aca="false">VLOOKUP(C141,Reimbursement_Rates!$A$18:$B$22,2,FALSE())</f>
        <v>Commercial_Rate</v>
      </c>
      <c r="H141" s="14" t="n">
        <f aca="false">INDEX(Reimbursement_Rates!$A$1:$G$11,MATCH(B141,Reimbursement_Rates!$A$1:$A$11,0),MATCH(G141,Reimbursement_Rates!$A$1:$G$1,0))</f>
        <v>27</v>
      </c>
      <c r="I141" s="14" t="n">
        <f aca="false">F141-H141</f>
        <v>0.0100000000000016</v>
      </c>
      <c r="J141" s="16" t="n">
        <f aca="false">IFERROR(I141/H141,0)</f>
        <v>0.000370370370370428</v>
      </c>
    </row>
    <row r="142" customFormat="false" ht="15" hidden="false" customHeight="false" outlineLevel="0" collapsed="false">
      <c r="A142" s="12" t="n">
        <f aca="false">Claims_Data!A142</f>
        <v>100141</v>
      </c>
      <c r="B142" s="12" t="str">
        <f aca="false">Claims_Data!E142</f>
        <v>99213</v>
      </c>
      <c r="C142" s="12" t="str">
        <f aca="false">Claims_Data!D142</f>
        <v>Commercial - Blue Shield</v>
      </c>
      <c r="D142" s="12" t="str">
        <f aca="false">Claims_Data!J142</f>
        <v>Paid</v>
      </c>
      <c r="E142" s="13" t="n">
        <f aca="false">Claims_Data!G142</f>
        <v>138.93</v>
      </c>
      <c r="F142" s="13" t="n">
        <f aca="false">Claims_Data!H142</f>
        <v>119.32</v>
      </c>
      <c r="G142" s="7" t="str">
        <f aca="false">VLOOKUP(C142,Reimbursement_Rates!$A$18:$B$22,2,FALSE())</f>
        <v>Commercial_Rate</v>
      </c>
      <c r="H142" s="14" t="n">
        <f aca="false">INDEX(Reimbursement_Rates!$A$1:$G$11,MATCH(B142,Reimbursement_Rates!$A$1:$A$11,0),MATCH(G142,Reimbursement_Rates!$A$1:$G$1,0))</f>
        <v>118</v>
      </c>
      <c r="I142" s="14" t="n">
        <f aca="false">F142-H142</f>
        <v>1.31999999999999</v>
      </c>
      <c r="J142" s="16" t="n">
        <f aca="false">IFERROR(I142/H142,0)</f>
        <v>0.011186440677966</v>
      </c>
    </row>
    <row r="143" customFormat="false" ht="15" hidden="false" customHeight="false" outlineLevel="0" collapsed="false">
      <c r="A143" s="12" t="n">
        <f aca="false">Claims_Data!A143</f>
        <v>100142</v>
      </c>
      <c r="B143" s="12" t="str">
        <f aca="false">Claims_Data!E143</f>
        <v>99214</v>
      </c>
      <c r="C143" s="12" t="str">
        <f aca="false">Claims_Data!D143</f>
        <v>Medicare</v>
      </c>
      <c r="D143" s="12" t="str">
        <f aca="false">Claims_Data!J143</f>
        <v>Paid</v>
      </c>
      <c r="E143" s="13" t="n">
        <f aca="false">Claims_Data!G143</f>
        <v>165.75</v>
      </c>
      <c r="F143" s="13" t="n">
        <f aca="false">Claims_Data!H143</f>
        <v>128.95</v>
      </c>
      <c r="G143" s="7" t="str">
        <f aca="false">VLOOKUP(C143,Reimbursement_Rates!$A$18:$B$22,2,FALSE())</f>
        <v>Medicare_Rate</v>
      </c>
      <c r="H143" s="14" t="n">
        <f aca="false">INDEX(Reimbursement_Rates!$A$1:$G$11,MATCH(B143,Reimbursement_Rates!$A$1:$A$11,0),MATCH(G143,Reimbursement_Rates!$A$1:$G$1,0))</f>
        <v>128</v>
      </c>
      <c r="I143" s="14" t="n">
        <f aca="false">F143-H143</f>
        <v>0.949999999999989</v>
      </c>
      <c r="J143" s="16" t="n">
        <f aca="false">IFERROR(I143/H143,0)</f>
        <v>0.00742187499999991</v>
      </c>
    </row>
    <row r="144" customFormat="false" ht="15" hidden="false" customHeight="false" outlineLevel="0" collapsed="false">
      <c r="A144" s="12" t="n">
        <f aca="false">Claims_Data!A144</f>
        <v>100143</v>
      </c>
      <c r="B144" s="12" t="str">
        <f aca="false">Claims_Data!E144</f>
        <v>93000</v>
      </c>
      <c r="C144" s="12" t="str">
        <f aca="false">Claims_Data!D144</f>
        <v>Commercial - Aetna</v>
      </c>
      <c r="D144" s="12" t="str">
        <f aca="false">Claims_Data!J144</f>
        <v>Paid</v>
      </c>
      <c r="E144" s="13" t="n">
        <f aca="false">Claims_Data!G144</f>
        <v>56.44</v>
      </c>
      <c r="F144" s="13" t="n">
        <f aca="false">Claims_Data!H144</f>
        <v>44.77</v>
      </c>
      <c r="G144" s="7" t="str">
        <f aca="false">VLOOKUP(C144,Reimbursement_Rates!$A$18:$B$22,2,FALSE())</f>
        <v>Commercial_Rate</v>
      </c>
      <c r="H144" s="14" t="n">
        <f aca="false">INDEX(Reimbursement_Rates!$A$1:$G$11,MATCH(B144,Reimbursement_Rates!$A$1:$A$11,0),MATCH(G144,Reimbursement_Rates!$A$1:$G$1,0))</f>
        <v>44</v>
      </c>
      <c r="I144" s="14" t="n">
        <f aca="false">F144-H144</f>
        <v>0.770000000000003</v>
      </c>
      <c r="J144" s="16" t="n">
        <f aca="false">IFERROR(I144/H144,0)</f>
        <v>0.0175000000000001</v>
      </c>
    </row>
    <row r="145" customFormat="false" ht="15" hidden="false" customHeight="false" outlineLevel="0" collapsed="false">
      <c r="A145" s="12" t="n">
        <f aca="false">Claims_Data!A145</f>
        <v>100144</v>
      </c>
      <c r="B145" s="12" t="str">
        <f aca="false">Claims_Data!E145</f>
        <v>80053</v>
      </c>
      <c r="C145" s="12" t="str">
        <f aca="false">Claims_Data!D145</f>
        <v>Commercial - Blue Shield</v>
      </c>
      <c r="D145" s="12" t="str">
        <f aca="false">Claims_Data!J145</f>
        <v>Paid</v>
      </c>
      <c r="E145" s="13" t="n">
        <f aca="false">Claims_Data!G145</f>
        <v>41.84</v>
      </c>
      <c r="F145" s="13" t="n">
        <f aca="false">Claims_Data!H145</f>
        <v>21.05</v>
      </c>
      <c r="G145" s="7" t="str">
        <f aca="false">VLOOKUP(C145,Reimbursement_Rates!$A$18:$B$22,2,FALSE())</f>
        <v>Commercial_Rate</v>
      </c>
      <c r="H145" s="14" t="n">
        <f aca="false">INDEX(Reimbursement_Rates!$A$1:$G$11,MATCH(B145,Reimbursement_Rates!$A$1:$A$11,0),MATCH(G145,Reimbursement_Rates!$A$1:$G$1,0))</f>
        <v>27</v>
      </c>
      <c r="I145" s="14" t="n">
        <f aca="false">F145-H145</f>
        <v>-5.95</v>
      </c>
      <c r="J145" s="16" t="n">
        <f aca="false">IFERROR(I145/H145,0)</f>
        <v>-0.22037037037037</v>
      </c>
    </row>
    <row r="146" customFormat="false" ht="15" hidden="false" customHeight="false" outlineLevel="0" collapsed="false">
      <c r="A146" s="12" t="n">
        <f aca="false">Claims_Data!A146</f>
        <v>100145</v>
      </c>
      <c r="B146" s="12" t="str">
        <f aca="false">Claims_Data!E146</f>
        <v>90935</v>
      </c>
      <c r="C146" s="12" t="str">
        <f aca="false">Claims_Data!D146</f>
        <v>Commercial - Blue Shield</v>
      </c>
      <c r="D146" s="12" t="str">
        <f aca="false">Claims_Data!J146</f>
        <v>Paid</v>
      </c>
      <c r="E146" s="13" t="n">
        <f aca="false">Claims_Data!G146</f>
        <v>271.02</v>
      </c>
      <c r="F146" s="13" t="n">
        <f aca="false">Claims_Data!H146</f>
        <v>191.75</v>
      </c>
      <c r="G146" s="7" t="str">
        <f aca="false">VLOOKUP(C146,Reimbursement_Rates!$A$18:$B$22,2,FALSE())</f>
        <v>Commercial_Rate</v>
      </c>
      <c r="H146" s="14" t="n">
        <f aca="false">INDEX(Reimbursement_Rates!$A$1:$G$11,MATCH(B146,Reimbursement_Rates!$A$1:$A$11,0),MATCH(G146,Reimbursement_Rates!$A$1:$G$1,0))</f>
        <v>187</v>
      </c>
      <c r="I146" s="14" t="n">
        <f aca="false">F146-H146</f>
        <v>4.75</v>
      </c>
      <c r="J146" s="16" t="n">
        <f aca="false">IFERROR(I146/H146,0)</f>
        <v>0.0254010695187166</v>
      </c>
    </row>
    <row r="147" customFormat="false" ht="15" hidden="false" customHeight="false" outlineLevel="0" collapsed="false">
      <c r="A147" s="12" t="n">
        <f aca="false">Claims_Data!A147</f>
        <v>100146</v>
      </c>
      <c r="B147" s="12" t="str">
        <f aca="false">Claims_Data!E147</f>
        <v>99214</v>
      </c>
      <c r="C147" s="12" t="str">
        <f aca="false">Claims_Data!D147</f>
        <v>Medicare</v>
      </c>
      <c r="D147" s="12" t="str">
        <f aca="false">Claims_Data!J147</f>
        <v>Paid</v>
      </c>
      <c r="E147" s="13" t="n">
        <f aca="false">Claims_Data!G147</f>
        <v>172.08</v>
      </c>
      <c r="F147" s="13" t="n">
        <f aca="false">Claims_Data!H147</f>
        <v>125.16</v>
      </c>
      <c r="G147" s="7" t="str">
        <f aca="false">VLOOKUP(C147,Reimbursement_Rates!$A$18:$B$22,2,FALSE())</f>
        <v>Medicare_Rate</v>
      </c>
      <c r="H147" s="14" t="n">
        <f aca="false">INDEX(Reimbursement_Rates!$A$1:$G$11,MATCH(B147,Reimbursement_Rates!$A$1:$A$11,0),MATCH(G147,Reimbursement_Rates!$A$1:$G$1,0))</f>
        <v>128</v>
      </c>
      <c r="I147" s="14" t="n">
        <f aca="false">F147-H147</f>
        <v>-2.84</v>
      </c>
      <c r="J147" s="16" t="n">
        <f aca="false">IFERROR(I147/H147,0)</f>
        <v>-0.0221875</v>
      </c>
    </row>
    <row r="148" customFormat="false" ht="15" hidden="false" customHeight="false" outlineLevel="0" collapsed="false">
      <c r="A148" s="12" t="n">
        <f aca="false">Claims_Data!A148</f>
        <v>100147</v>
      </c>
      <c r="B148" s="12" t="str">
        <f aca="false">Claims_Data!E148</f>
        <v>36415</v>
      </c>
      <c r="C148" s="12" t="str">
        <f aca="false">Claims_Data!D148</f>
        <v>Medicare</v>
      </c>
      <c r="D148" s="12" t="str">
        <f aca="false">Claims_Data!J148</f>
        <v>Paid</v>
      </c>
      <c r="E148" s="13" t="n">
        <f aca="false">Claims_Data!G148</f>
        <v>15.71</v>
      </c>
      <c r="F148" s="13" t="n">
        <f aca="false">Claims_Data!H148</f>
        <v>10.48</v>
      </c>
      <c r="G148" s="7" t="str">
        <f aca="false">VLOOKUP(C148,Reimbursement_Rates!$A$18:$B$22,2,FALSE())</f>
        <v>Medicare_Rate</v>
      </c>
      <c r="H148" s="14" t="n">
        <f aca="false">INDEX(Reimbursement_Rates!$A$1:$G$11,MATCH(B148,Reimbursement_Rates!$A$1:$A$11,0),MATCH(G148,Reimbursement_Rates!$A$1:$G$1,0))</f>
        <v>12</v>
      </c>
      <c r="I148" s="14" t="n">
        <f aca="false">F148-H148</f>
        <v>-1.52</v>
      </c>
      <c r="J148" s="16" t="n">
        <f aca="false">IFERROR(I148/H148,0)</f>
        <v>-0.126666666666667</v>
      </c>
    </row>
    <row r="149" customFormat="false" ht="15" hidden="false" customHeight="false" outlineLevel="0" collapsed="false">
      <c r="A149" s="12" t="n">
        <f aca="false">Claims_Data!A149</f>
        <v>100148</v>
      </c>
      <c r="B149" s="12" t="str">
        <f aca="false">Claims_Data!E149</f>
        <v>99204</v>
      </c>
      <c r="C149" s="12" t="str">
        <f aca="false">Claims_Data!D149</f>
        <v>Commercial - Aetna</v>
      </c>
      <c r="D149" s="12" t="str">
        <f aca="false">Claims_Data!J149</f>
        <v>Paid</v>
      </c>
      <c r="E149" s="13" t="n">
        <f aca="false">Claims_Data!G149</f>
        <v>300.9</v>
      </c>
      <c r="F149" s="13" t="n">
        <f aca="false">Claims_Data!H149</f>
        <v>232.16</v>
      </c>
      <c r="G149" s="7" t="str">
        <f aca="false">VLOOKUP(C149,Reimbursement_Rates!$A$18:$B$22,2,FALSE())</f>
        <v>Commercial_Rate</v>
      </c>
      <c r="H149" s="14" t="n">
        <f aca="false">INDEX(Reimbursement_Rates!$A$1:$G$11,MATCH(B149,Reimbursement_Rates!$A$1:$A$11,0),MATCH(G149,Reimbursement_Rates!$A$1:$G$1,0))</f>
        <v>230</v>
      </c>
      <c r="I149" s="14" t="n">
        <f aca="false">F149-H149</f>
        <v>2.16</v>
      </c>
      <c r="J149" s="16" t="n">
        <f aca="false">IFERROR(I149/H149,0)</f>
        <v>0.00939130434782607</v>
      </c>
    </row>
    <row r="150" customFormat="false" ht="15" hidden="false" customHeight="false" outlineLevel="0" collapsed="false">
      <c r="A150" s="12" t="n">
        <f aca="false">Claims_Data!A150</f>
        <v>100149</v>
      </c>
      <c r="B150" s="12" t="str">
        <f aca="false">Claims_Data!E150</f>
        <v>93000</v>
      </c>
      <c r="C150" s="12" t="str">
        <f aca="false">Claims_Data!D150</f>
        <v>Kaiser HMO</v>
      </c>
      <c r="D150" s="12" t="str">
        <f aca="false">Claims_Data!J150</f>
        <v>Paid</v>
      </c>
      <c r="E150" s="13" t="n">
        <f aca="false">Claims_Data!G150</f>
        <v>47.35</v>
      </c>
      <c r="F150" s="13" t="n">
        <f aca="false">Claims_Data!H150</f>
        <v>36.66</v>
      </c>
      <c r="G150" s="7" t="str">
        <f aca="false">VLOOKUP(C150,Reimbursement_Rates!$A$18:$B$22,2,FALSE())</f>
        <v>Kaiser_HMO_Rate</v>
      </c>
      <c r="H150" s="14" t="n">
        <f aca="false">INDEX(Reimbursement_Rates!$A$1:$G$11,MATCH(B150,Reimbursement_Rates!$A$1:$A$11,0),MATCH(G150,Reimbursement_Rates!$A$1:$G$1,0))</f>
        <v>36</v>
      </c>
      <c r="I150" s="14" t="n">
        <f aca="false">F150-H150</f>
        <v>0.659999999999997</v>
      </c>
      <c r="J150" s="16" t="n">
        <f aca="false">IFERROR(I150/H150,0)</f>
        <v>0.0183333333333332</v>
      </c>
    </row>
    <row r="151" customFormat="false" ht="15" hidden="false" customHeight="false" outlineLevel="0" collapsed="false">
      <c r="A151" s="12" t="n">
        <f aca="false">Claims_Data!A151</f>
        <v>100150</v>
      </c>
      <c r="B151" s="12" t="str">
        <f aca="false">Claims_Data!E151</f>
        <v>99215</v>
      </c>
      <c r="C151" s="12" t="str">
        <f aca="false">Claims_Data!D151</f>
        <v>Medicare</v>
      </c>
      <c r="D151" s="12" t="str">
        <f aca="false">Claims_Data!J151</f>
        <v>Paid</v>
      </c>
      <c r="E151" s="13" t="n">
        <f aca="false">Claims_Data!G151</f>
        <v>232.95</v>
      </c>
      <c r="F151" s="13" t="n">
        <f aca="false">Claims_Data!H151</f>
        <v>201.79</v>
      </c>
      <c r="G151" s="7" t="str">
        <f aca="false">VLOOKUP(C151,Reimbursement_Rates!$A$18:$B$22,2,FALSE())</f>
        <v>Medicare_Rate</v>
      </c>
      <c r="H151" s="14" t="n">
        <f aca="false">INDEX(Reimbursement_Rates!$A$1:$G$11,MATCH(B151,Reimbursement_Rates!$A$1:$A$11,0),MATCH(G151,Reimbursement_Rates!$A$1:$G$1,0))</f>
        <v>183</v>
      </c>
      <c r="I151" s="14" t="n">
        <f aca="false">F151-H151</f>
        <v>18.79</v>
      </c>
      <c r="J151" s="16" t="n">
        <f aca="false">IFERROR(I151/H151,0)</f>
        <v>0.102677595628415</v>
      </c>
    </row>
    <row r="152" customFormat="false" ht="15" hidden="false" customHeight="false" outlineLevel="0" collapsed="false">
      <c r="A152" s="12" t="n">
        <f aca="false">Claims_Data!A152</f>
        <v>100151</v>
      </c>
      <c r="B152" s="12" t="str">
        <f aca="false">Claims_Data!E152</f>
        <v>36415</v>
      </c>
      <c r="C152" s="12" t="str">
        <f aca="false">Claims_Data!D152</f>
        <v>Commercial - Aetna</v>
      </c>
      <c r="D152" s="12" t="str">
        <f aca="false">Claims_Data!J152</f>
        <v>Paid</v>
      </c>
      <c r="E152" s="13" t="n">
        <f aca="false">Claims_Data!G152</f>
        <v>18.9</v>
      </c>
      <c r="F152" s="13" t="n">
        <f aca="false">Claims_Data!H152</f>
        <v>17.02</v>
      </c>
      <c r="G152" s="7" t="str">
        <f aca="false">VLOOKUP(C152,Reimbursement_Rates!$A$18:$B$22,2,FALSE())</f>
        <v>Commercial_Rate</v>
      </c>
      <c r="H152" s="14" t="n">
        <f aca="false">INDEX(Reimbursement_Rates!$A$1:$G$11,MATCH(B152,Reimbursement_Rates!$A$1:$A$11,0),MATCH(G152,Reimbursement_Rates!$A$1:$G$1,0))</f>
        <v>16</v>
      </c>
      <c r="I152" s="14" t="n">
        <f aca="false">F152-H152</f>
        <v>1.02</v>
      </c>
      <c r="J152" s="16" t="n">
        <f aca="false">IFERROR(I152/H152,0)</f>
        <v>0.06375</v>
      </c>
    </row>
    <row r="153" customFormat="false" ht="15" hidden="false" customHeight="false" outlineLevel="0" collapsed="false">
      <c r="A153" s="12" t="n">
        <f aca="false">Claims_Data!A153</f>
        <v>100152</v>
      </c>
      <c r="B153" s="12" t="str">
        <f aca="false">Claims_Data!E153</f>
        <v>80053</v>
      </c>
      <c r="C153" s="12" t="str">
        <f aca="false">Claims_Data!D153</f>
        <v>Commercial - Blue Shield</v>
      </c>
      <c r="D153" s="12" t="str">
        <f aca="false">Claims_Data!J153</f>
        <v>Paid</v>
      </c>
      <c r="E153" s="13" t="n">
        <f aca="false">Claims_Data!G153</f>
        <v>35.19</v>
      </c>
      <c r="F153" s="13" t="n">
        <f aca="false">Claims_Data!H153</f>
        <v>23.09</v>
      </c>
      <c r="G153" s="7" t="str">
        <f aca="false">VLOOKUP(C153,Reimbursement_Rates!$A$18:$B$22,2,FALSE())</f>
        <v>Commercial_Rate</v>
      </c>
      <c r="H153" s="14" t="n">
        <f aca="false">INDEX(Reimbursement_Rates!$A$1:$G$11,MATCH(B153,Reimbursement_Rates!$A$1:$A$11,0),MATCH(G153,Reimbursement_Rates!$A$1:$G$1,0))</f>
        <v>27</v>
      </c>
      <c r="I153" s="14" t="n">
        <f aca="false">F153-H153</f>
        <v>-3.91</v>
      </c>
      <c r="J153" s="16" t="n">
        <f aca="false">IFERROR(I153/H153,0)</f>
        <v>-0.144814814814815</v>
      </c>
    </row>
    <row r="154" customFormat="false" ht="15" hidden="false" customHeight="false" outlineLevel="0" collapsed="false">
      <c r="A154" s="12" t="n">
        <f aca="false">Claims_Data!A154</f>
        <v>100153</v>
      </c>
      <c r="B154" s="12" t="str">
        <f aca="false">Claims_Data!E154</f>
        <v>99215</v>
      </c>
      <c r="C154" s="12" t="str">
        <f aca="false">Claims_Data!D154</f>
        <v>Medicaid</v>
      </c>
      <c r="D154" s="12" t="str">
        <f aca="false">Claims_Data!J154</f>
        <v>Paid</v>
      </c>
      <c r="E154" s="13" t="n">
        <f aca="false">Claims_Data!G154</f>
        <v>180.23</v>
      </c>
      <c r="F154" s="13" t="n">
        <f aca="false">Claims_Data!H154</f>
        <v>120.59</v>
      </c>
      <c r="G154" s="7" t="str">
        <f aca="false">VLOOKUP(C154,Reimbursement_Rates!$A$18:$B$22,2,FALSE())</f>
        <v>Medicaid_Rate</v>
      </c>
      <c r="H154" s="14" t="n">
        <f aca="false">INDEX(Reimbursement_Rates!$A$1:$G$11,MATCH(B154,Reimbursement_Rates!$A$1:$A$11,0),MATCH(G154,Reimbursement_Rates!$A$1:$G$1,0))</f>
        <v>121</v>
      </c>
      <c r="I154" s="14" t="n">
        <f aca="false">F154-H154</f>
        <v>-0.409999999999997</v>
      </c>
      <c r="J154" s="16" t="n">
        <f aca="false">IFERROR(I154/H154,0)</f>
        <v>-0.00338842975206609</v>
      </c>
    </row>
    <row r="155" customFormat="false" ht="15" hidden="false" customHeight="false" outlineLevel="0" collapsed="false">
      <c r="A155" s="12" t="n">
        <f aca="false">Claims_Data!A155</f>
        <v>100154</v>
      </c>
      <c r="B155" s="12" t="str">
        <f aca="false">Claims_Data!E155</f>
        <v>80053</v>
      </c>
      <c r="C155" s="12" t="str">
        <f aca="false">Claims_Data!D155</f>
        <v>Commercial - Aetna</v>
      </c>
      <c r="D155" s="12" t="str">
        <f aca="false">Claims_Data!J155</f>
        <v>Paid</v>
      </c>
      <c r="E155" s="13" t="n">
        <f aca="false">Claims_Data!G155</f>
        <v>36.08</v>
      </c>
      <c r="F155" s="13" t="n">
        <f aca="false">Claims_Data!H155</f>
        <v>26.75</v>
      </c>
      <c r="G155" s="7" t="str">
        <f aca="false">VLOOKUP(C155,Reimbursement_Rates!$A$18:$B$22,2,FALSE())</f>
        <v>Commercial_Rate</v>
      </c>
      <c r="H155" s="14" t="n">
        <f aca="false">INDEX(Reimbursement_Rates!$A$1:$G$11,MATCH(B155,Reimbursement_Rates!$A$1:$A$11,0),MATCH(G155,Reimbursement_Rates!$A$1:$G$1,0))</f>
        <v>27</v>
      </c>
      <c r="I155" s="14" t="n">
        <f aca="false">F155-H155</f>
        <v>-0.25</v>
      </c>
      <c r="J155" s="16" t="n">
        <f aca="false">IFERROR(I155/H155,0)</f>
        <v>-0.00925925925925926</v>
      </c>
    </row>
    <row r="156" customFormat="false" ht="15" hidden="false" customHeight="false" outlineLevel="0" collapsed="false">
      <c r="A156" s="12" t="n">
        <f aca="false">Claims_Data!A156</f>
        <v>100155</v>
      </c>
      <c r="B156" s="12" t="str">
        <f aca="false">Claims_Data!E156</f>
        <v>80053</v>
      </c>
      <c r="C156" s="12" t="str">
        <f aca="false">Claims_Data!D156</f>
        <v>Commercial - Aetna</v>
      </c>
      <c r="D156" s="12" t="str">
        <f aca="false">Claims_Data!J156</f>
        <v>Paid</v>
      </c>
      <c r="E156" s="13" t="n">
        <f aca="false">Claims_Data!G156</f>
        <v>37.45</v>
      </c>
      <c r="F156" s="13" t="n">
        <f aca="false">Claims_Data!H156</f>
        <v>27.78</v>
      </c>
      <c r="G156" s="7" t="str">
        <f aca="false">VLOOKUP(C156,Reimbursement_Rates!$A$18:$B$22,2,FALSE())</f>
        <v>Commercial_Rate</v>
      </c>
      <c r="H156" s="14" t="n">
        <f aca="false">INDEX(Reimbursement_Rates!$A$1:$G$11,MATCH(B156,Reimbursement_Rates!$A$1:$A$11,0),MATCH(G156,Reimbursement_Rates!$A$1:$G$1,0))</f>
        <v>27</v>
      </c>
      <c r="I156" s="14" t="n">
        <f aca="false">F156-H156</f>
        <v>0.780000000000001</v>
      </c>
      <c r="J156" s="16" t="n">
        <f aca="false">IFERROR(I156/H156,0)</f>
        <v>0.0288888888888889</v>
      </c>
    </row>
    <row r="157" customFormat="false" ht="15" hidden="false" customHeight="false" outlineLevel="0" collapsed="false">
      <c r="A157" s="12" t="n">
        <f aca="false">Claims_Data!A157</f>
        <v>100156</v>
      </c>
      <c r="B157" s="12" t="str">
        <f aca="false">Claims_Data!E157</f>
        <v>99204</v>
      </c>
      <c r="C157" s="12" t="str">
        <f aca="false">Claims_Data!D157</f>
        <v>Medicaid</v>
      </c>
      <c r="D157" s="12" t="str">
        <f aca="false">Claims_Data!J157</f>
        <v>Paid</v>
      </c>
      <c r="E157" s="13" t="n">
        <f aca="false">Claims_Data!G157</f>
        <v>185.9</v>
      </c>
      <c r="F157" s="13" t="n">
        <f aca="false">Claims_Data!H157</f>
        <v>89.43</v>
      </c>
      <c r="G157" s="7" t="str">
        <f aca="false">VLOOKUP(C157,Reimbursement_Rates!$A$18:$B$22,2,FALSE())</f>
        <v>Medicaid_Rate</v>
      </c>
      <c r="H157" s="14" t="n">
        <f aca="false">INDEX(Reimbursement_Rates!$A$1:$G$11,MATCH(B157,Reimbursement_Rates!$A$1:$A$11,0),MATCH(G157,Reimbursement_Rates!$A$1:$G$1,0))</f>
        <v>118</v>
      </c>
      <c r="I157" s="14" t="n">
        <f aca="false">F157-H157</f>
        <v>-28.57</v>
      </c>
      <c r="J157" s="16" t="n">
        <f aca="false">IFERROR(I157/H157,0)</f>
        <v>-0.242118644067797</v>
      </c>
    </row>
    <row r="158" customFormat="false" ht="15" hidden="false" customHeight="false" outlineLevel="0" collapsed="false">
      <c r="A158" s="12" t="n">
        <f aca="false">Claims_Data!A158</f>
        <v>100157</v>
      </c>
      <c r="B158" s="12" t="str">
        <f aca="false">Claims_Data!E158</f>
        <v>36415</v>
      </c>
      <c r="C158" s="12" t="str">
        <f aca="false">Claims_Data!D158</f>
        <v>Commercial - Blue Shield</v>
      </c>
      <c r="D158" s="12" t="str">
        <f aca="false">Claims_Data!J158</f>
        <v>Paid</v>
      </c>
      <c r="E158" s="13" t="n">
        <f aca="false">Claims_Data!G158</f>
        <v>19.67</v>
      </c>
      <c r="F158" s="13" t="n">
        <f aca="false">Claims_Data!H158</f>
        <v>12.8</v>
      </c>
      <c r="G158" s="7" t="str">
        <f aca="false">VLOOKUP(C158,Reimbursement_Rates!$A$18:$B$22,2,FALSE())</f>
        <v>Commercial_Rate</v>
      </c>
      <c r="H158" s="14" t="n">
        <f aca="false">INDEX(Reimbursement_Rates!$A$1:$G$11,MATCH(B158,Reimbursement_Rates!$A$1:$A$11,0),MATCH(G158,Reimbursement_Rates!$A$1:$G$1,0))</f>
        <v>16</v>
      </c>
      <c r="I158" s="14" t="n">
        <f aca="false">F158-H158</f>
        <v>-3.2</v>
      </c>
      <c r="J158" s="16" t="n">
        <f aca="false">IFERROR(I158/H158,0)</f>
        <v>-0.2</v>
      </c>
    </row>
    <row r="159" customFormat="false" ht="15" hidden="false" customHeight="false" outlineLevel="0" collapsed="false">
      <c r="A159" s="12" t="n">
        <f aca="false">Claims_Data!A159</f>
        <v>100158</v>
      </c>
      <c r="B159" s="12" t="str">
        <f aca="false">Claims_Data!E159</f>
        <v>99213</v>
      </c>
      <c r="C159" s="12" t="str">
        <f aca="false">Claims_Data!D159</f>
        <v>Commercial - Blue Shield</v>
      </c>
      <c r="D159" s="12" t="str">
        <f aca="false">Claims_Data!J159</f>
        <v>Paid</v>
      </c>
      <c r="E159" s="13" t="n">
        <f aca="false">Claims_Data!G159</f>
        <v>158.86</v>
      </c>
      <c r="F159" s="13" t="n">
        <f aca="false">Claims_Data!H159</f>
        <v>116.68</v>
      </c>
      <c r="G159" s="7" t="str">
        <f aca="false">VLOOKUP(C159,Reimbursement_Rates!$A$18:$B$22,2,FALSE())</f>
        <v>Commercial_Rate</v>
      </c>
      <c r="H159" s="14" t="n">
        <f aca="false">INDEX(Reimbursement_Rates!$A$1:$G$11,MATCH(B159,Reimbursement_Rates!$A$1:$A$11,0),MATCH(G159,Reimbursement_Rates!$A$1:$G$1,0))</f>
        <v>118</v>
      </c>
      <c r="I159" s="14" t="n">
        <f aca="false">F159-H159</f>
        <v>-1.31999999999999</v>
      </c>
      <c r="J159" s="16" t="n">
        <f aca="false">IFERROR(I159/H159,0)</f>
        <v>-0.011186440677966</v>
      </c>
    </row>
    <row r="160" customFormat="false" ht="15" hidden="false" customHeight="false" outlineLevel="0" collapsed="false">
      <c r="A160" s="12" t="n">
        <f aca="false">Claims_Data!A160</f>
        <v>100159</v>
      </c>
      <c r="B160" s="12" t="str">
        <f aca="false">Claims_Data!E160</f>
        <v>99204</v>
      </c>
      <c r="C160" s="12" t="str">
        <f aca="false">Claims_Data!D160</f>
        <v>Commercial - Blue Shield</v>
      </c>
      <c r="D160" s="12" t="str">
        <f aca="false">Claims_Data!J160</f>
        <v>Paid</v>
      </c>
      <c r="E160" s="13" t="n">
        <f aca="false">Claims_Data!G160</f>
        <v>276.42</v>
      </c>
      <c r="F160" s="13" t="n">
        <f aca="false">Claims_Data!H160</f>
        <v>234.16</v>
      </c>
      <c r="G160" s="7" t="str">
        <f aca="false">VLOOKUP(C160,Reimbursement_Rates!$A$18:$B$22,2,FALSE())</f>
        <v>Commercial_Rate</v>
      </c>
      <c r="H160" s="14" t="n">
        <f aca="false">INDEX(Reimbursement_Rates!$A$1:$G$11,MATCH(B160,Reimbursement_Rates!$A$1:$A$11,0),MATCH(G160,Reimbursement_Rates!$A$1:$G$1,0))</f>
        <v>230</v>
      </c>
      <c r="I160" s="14" t="n">
        <f aca="false">F160-H160</f>
        <v>4.16</v>
      </c>
      <c r="J160" s="16" t="n">
        <f aca="false">IFERROR(I160/H160,0)</f>
        <v>0.0180869565217391</v>
      </c>
    </row>
    <row r="161" customFormat="false" ht="15" hidden="false" customHeight="false" outlineLevel="0" collapsed="false">
      <c r="A161" s="12" t="n">
        <f aca="false">Claims_Data!A161</f>
        <v>100160</v>
      </c>
      <c r="B161" s="12" t="str">
        <f aca="false">Claims_Data!E161</f>
        <v>36415</v>
      </c>
      <c r="C161" s="12" t="str">
        <f aca="false">Claims_Data!D161</f>
        <v>Medicare</v>
      </c>
      <c r="D161" s="12" t="str">
        <f aca="false">Claims_Data!J161</f>
        <v>Paid</v>
      </c>
      <c r="E161" s="13" t="n">
        <f aca="false">Claims_Data!G161</f>
        <v>18.36</v>
      </c>
      <c r="F161" s="13" t="n">
        <f aca="false">Claims_Data!H161</f>
        <v>12.02</v>
      </c>
      <c r="G161" s="7" t="str">
        <f aca="false">VLOOKUP(C161,Reimbursement_Rates!$A$18:$B$22,2,FALSE())</f>
        <v>Medicare_Rate</v>
      </c>
      <c r="H161" s="14" t="n">
        <f aca="false">INDEX(Reimbursement_Rates!$A$1:$G$11,MATCH(B161,Reimbursement_Rates!$A$1:$A$11,0),MATCH(G161,Reimbursement_Rates!$A$1:$G$1,0))</f>
        <v>12</v>
      </c>
      <c r="I161" s="14" t="n">
        <f aca="false">F161-H161</f>
        <v>0.0199999999999996</v>
      </c>
      <c r="J161" s="16" t="n">
        <f aca="false">IFERROR(I161/H161,0)</f>
        <v>0.00166666666666663</v>
      </c>
    </row>
    <row r="162" customFormat="false" ht="15" hidden="false" customHeight="false" outlineLevel="0" collapsed="false">
      <c r="A162" s="12" t="n">
        <f aca="false">Claims_Data!A162</f>
        <v>100161</v>
      </c>
      <c r="B162" s="12" t="str">
        <f aca="false">Claims_Data!E162</f>
        <v>99203</v>
      </c>
      <c r="C162" s="12" t="str">
        <f aca="false">Claims_Data!D162</f>
        <v>Kaiser HMO</v>
      </c>
      <c r="D162" s="12" t="str">
        <f aca="false">Claims_Data!J162</f>
        <v>Paid</v>
      </c>
      <c r="E162" s="13" t="n">
        <f aca="false">Claims_Data!G162</f>
        <v>155.99</v>
      </c>
      <c r="F162" s="13" t="n">
        <f aca="false">Claims_Data!H162</f>
        <v>117.22</v>
      </c>
      <c r="G162" s="7" t="str">
        <f aca="false">VLOOKUP(C162,Reimbursement_Rates!$A$18:$B$22,2,FALSE())</f>
        <v>Kaiser_HMO_Rate</v>
      </c>
      <c r="H162" s="14" t="n">
        <f aca="false">INDEX(Reimbursement_Rates!$A$1:$G$11,MATCH(B162,Reimbursement_Rates!$A$1:$A$11,0),MATCH(G162,Reimbursement_Rates!$A$1:$G$1,0))</f>
        <v>120</v>
      </c>
      <c r="I162" s="14" t="n">
        <f aca="false">F162-H162</f>
        <v>-2.78</v>
      </c>
      <c r="J162" s="16" t="n">
        <f aca="false">IFERROR(I162/H162,0)</f>
        <v>-0.0231666666666667</v>
      </c>
    </row>
    <row r="163" customFormat="false" ht="15" hidden="false" customHeight="false" outlineLevel="0" collapsed="false">
      <c r="A163" s="12" t="n">
        <f aca="false">Claims_Data!A163</f>
        <v>100162</v>
      </c>
      <c r="B163" s="12" t="str">
        <f aca="false">Claims_Data!E163</f>
        <v>90935</v>
      </c>
      <c r="C163" s="12" t="str">
        <f aca="false">Claims_Data!D163</f>
        <v>Kaiser HMO</v>
      </c>
      <c r="D163" s="12" t="str">
        <f aca="false">Claims_Data!J163</f>
        <v>Paid</v>
      </c>
      <c r="E163" s="13" t="n">
        <f aca="false">Claims_Data!G163</f>
        <v>228.98</v>
      </c>
      <c r="F163" s="13" t="n">
        <f aca="false">Claims_Data!H163</f>
        <v>115.82</v>
      </c>
      <c r="G163" s="7" t="str">
        <f aca="false">VLOOKUP(C163,Reimbursement_Rates!$A$18:$B$22,2,FALSE())</f>
        <v>Kaiser_HMO_Rate</v>
      </c>
      <c r="H163" s="14" t="n">
        <f aca="false">INDEX(Reimbursement_Rates!$A$1:$G$11,MATCH(B163,Reimbursement_Rates!$A$1:$A$11,0),MATCH(G163,Reimbursement_Rates!$A$1:$G$1,0))</f>
        <v>155</v>
      </c>
      <c r="I163" s="14" t="n">
        <f aca="false">F163-H163</f>
        <v>-39.18</v>
      </c>
      <c r="J163" s="16" t="n">
        <f aca="false">IFERROR(I163/H163,0)</f>
        <v>-0.252774193548387</v>
      </c>
    </row>
    <row r="164" customFormat="false" ht="15" hidden="false" customHeight="false" outlineLevel="0" collapsed="false">
      <c r="A164" s="12" t="n">
        <f aca="false">Claims_Data!A164</f>
        <v>100163</v>
      </c>
      <c r="B164" s="12" t="str">
        <f aca="false">Claims_Data!E164</f>
        <v>99215</v>
      </c>
      <c r="C164" s="12" t="str">
        <f aca="false">Claims_Data!D164</f>
        <v>Medicaid</v>
      </c>
      <c r="D164" s="12" t="str">
        <f aca="false">Claims_Data!J164</f>
        <v>Paid</v>
      </c>
      <c r="E164" s="13" t="n">
        <f aca="false">Claims_Data!G164</f>
        <v>171.95</v>
      </c>
      <c r="F164" s="13" t="n">
        <f aca="false">Claims_Data!H164</f>
        <v>88.99</v>
      </c>
      <c r="G164" s="7" t="str">
        <f aca="false">VLOOKUP(C164,Reimbursement_Rates!$A$18:$B$22,2,FALSE())</f>
        <v>Medicaid_Rate</v>
      </c>
      <c r="H164" s="14" t="n">
        <f aca="false">INDEX(Reimbursement_Rates!$A$1:$G$11,MATCH(B164,Reimbursement_Rates!$A$1:$A$11,0),MATCH(G164,Reimbursement_Rates!$A$1:$G$1,0))</f>
        <v>121</v>
      </c>
      <c r="I164" s="14" t="n">
        <f aca="false">F164-H164</f>
        <v>-32.01</v>
      </c>
      <c r="J164" s="16" t="n">
        <f aca="false">IFERROR(I164/H164,0)</f>
        <v>-0.264545454545455</v>
      </c>
    </row>
    <row r="165" customFormat="false" ht="15" hidden="false" customHeight="false" outlineLevel="0" collapsed="false">
      <c r="A165" s="12" t="n">
        <f aca="false">Claims_Data!A165</f>
        <v>100164</v>
      </c>
      <c r="B165" s="12" t="str">
        <f aca="false">Claims_Data!E165</f>
        <v>71046</v>
      </c>
      <c r="C165" s="12" t="str">
        <f aca="false">Claims_Data!D165</f>
        <v>Commercial - Aetna</v>
      </c>
      <c r="D165" s="12" t="str">
        <f aca="false">Claims_Data!J165</f>
        <v>Denied</v>
      </c>
      <c r="E165" s="13" t="n">
        <f aca="false">Claims_Data!G165</f>
        <v>83.82</v>
      </c>
      <c r="F165" s="13" t="n">
        <f aca="false">Claims_Data!H165</f>
        <v>0</v>
      </c>
      <c r="G165" s="7" t="str">
        <f aca="false">VLOOKUP(C165,Reimbursement_Rates!$A$18:$B$22,2,FALSE())</f>
        <v>Commercial_Rate</v>
      </c>
      <c r="H165" s="14" t="n">
        <f aca="false">INDEX(Reimbursement_Rates!$A$1:$G$11,MATCH(B165,Reimbursement_Rates!$A$1:$A$11,0),MATCH(G165,Reimbursement_Rates!$A$1:$G$1,0))</f>
        <v>62</v>
      </c>
      <c r="I165" s="14" t="n">
        <f aca="false">F165-H165</f>
        <v>-62</v>
      </c>
      <c r="J165" s="16" t="n">
        <f aca="false">IFERROR(I165/H165,0)</f>
        <v>-1</v>
      </c>
    </row>
    <row r="166" customFormat="false" ht="15" hidden="false" customHeight="false" outlineLevel="0" collapsed="false">
      <c r="A166" s="12" t="n">
        <f aca="false">Claims_Data!A166</f>
        <v>100165</v>
      </c>
      <c r="B166" s="12" t="str">
        <f aca="false">Claims_Data!E166</f>
        <v>80053</v>
      </c>
      <c r="C166" s="12" t="str">
        <f aca="false">Claims_Data!D166</f>
        <v>Medicaid</v>
      </c>
      <c r="D166" s="12" t="str">
        <f aca="false">Claims_Data!J166</f>
        <v>Paid</v>
      </c>
      <c r="E166" s="13" t="n">
        <f aca="false">Claims_Data!G166</f>
        <v>16.53</v>
      </c>
      <c r="F166" s="13" t="n">
        <f aca="false">Claims_Data!H166</f>
        <v>13.81</v>
      </c>
      <c r="G166" s="7" t="str">
        <f aca="false">VLOOKUP(C166,Reimbursement_Rates!$A$18:$B$22,2,FALSE())</f>
        <v>Medicaid_Rate</v>
      </c>
      <c r="H166" s="14" t="n">
        <f aca="false">INDEX(Reimbursement_Rates!$A$1:$G$11,MATCH(B166,Reimbursement_Rates!$A$1:$A$11,0),MATCH(G166,Reimbursement_Rates!$A$1:$G$1,0))</f>
        <v>14</v>
      </c>
      <c r="I166" s="14" t="n">
        <f aca="false">F166-H166</f>
        <v>-0.19</v>
      </c>
      <c r="J166" s="16" t="n">
        <f aca="false">IFERROR(I166/H166,0)</f>
        <v>-0.0135714285714285</v>
      </c>
    </row>
    <row r="167" customFormat="false" ht="15" hidden="false" customHeight="false" outlineLevel="0" collapsed="false">
      <c r="A167" s="12" t="n">
        <f aca="false">Claims_Data!A167</f>
        <v>100166</v>
      </c>
      <c r="B167" s="12" t="str">
        <f aca="false">Claims_Data!E167</f>
        <v>99214</v>
      </c>
      <c r="C167" s="12" t="str">
        <f aca="false">Claims_Data!D167</f>
        <v>Commercial - Aetna</v>
      </c>
      <c r="D167" s="12" t="str">
        <f aca="false">Claims_Data!J167</f>
        <v>Paid</v>
      </c>
      <c r="E167" s="13" t="n">
        <f aca="false">Claims_Data!G167</f>
        <v>212.8</v>
      </c>
      <c r="F167" s="13" t="n">
        <f aca="false">Claims_Data!H167</f>
        <v>168.28</v>
      </c>
      <c r="G167" s="7" t="str">
        <f aca="false">VLOOKUP(C167,Reimbursement_Rates!$A$18:$B$22,2,FALSE())</f>
        <v>Commercial_Rate</v>
      </c>
      <c r="H167" s="14" t="n">
        <f aca="false">INDEX(Reimbursement_Rates!$A$1:$G$11,MATCH(B167,Reimbursement_Rates!$A$1:$A$11,0),MATCH(G167,Reimbursement_Rates!$A$1:$G$1,0))</f>
        <v>165</v>
      </c>
      <c r="I167" s="14" t="n">
        <f aca="false">F167-H167</f>
        <v>3.28</v>
      </c>
      <c r="J167" s="16" t="n">
        <f aca="false">IFERROR(I167/H167,0)</f>
        <v>0.0198787878787879</v>
      </c>
    </row>
    <row r="168" customFormat="false" ht="15" hidden="false" customHeight="false" outlineLevel="0" collapsed="false">
      <c r="A168" s="12" t="n">
        <f aca="false">Claims_Data!A168</f>
        <v>100167</v>
      </c>
      <c r="B168" s="12" t="str">
        <f aca="false">Claims_Data!E168</f>
        <v>71046</v>
      </c>
      <c r="C168" s="12" t="str">
        <f aca="false">Claims_Data!D168</f>
        <v>Commercial - Aetna</v>
      </c>
      <c r="D168" s="12" t="str">
        <f aca="false">Claims_Data!J168</f>
        <v>Paid</v>
      </c>
      <c r="E168" s="13" t="n">
        <f aca="false">Claims_Data!G168</f>
        <v>85.45</v>
      </c>
      <c r="F168" s="13" t="n">
        <f aca="false">Claims_Data!H168</f>
        <v>63.09</v>
      </c>
      <c r="G168" s="7" t="str">
        <f aca="false">VLOOKUP(C168,Reimbursement_Rates!$A$18:$B$22,2,FALSE())</f>
        <v>Commercial_Rate</v>
      </c>
      <c r="H168" s="14" t="n">
        <f aca="false">INDEX(Reimbursement_Rates!$A$1:$G$11,MATCH(B168,Reimbursement_Rates!$A$1:$A$11,0),MATCH(G168,Reimbursement_Rates!$A$1:$G$1,0))</f>
        <v>62</v>
      </c>
      <c r="I168" s="14" t="n">
        <f aca="false">F168-H168</f>
        <v>1.09</v>
      </c>
      <c r="J168" s="16" t="n">
        <f aca="false">IFERROR(I168/H168,0)</f>
        <v>0.0175806451612904</v>
      </c>
    </row>
    <row r="169" customFormat="false" ht="15" hidden="false" customHeight="false" outlineLevel="0" collapsed="false">
      <c r="A169" s="12" t="n">
        <f aca="false">Claims_Data!A169</f>
        <v>100168</v>
      </c>
      <c r="B169" s="12" t="str">
        <f aca="false">Claims_Data!E169</f>
        <v>99203</v>
      </c>
      <c r="C169" s="12" t="str">
        <f aca="false">Claims_Data!D169</f>
        <v>Commercial - Aetna</v>
      </c>
      <c r="D169" s="12" t="str">
        <f aca="false">Claims_Data!J169</f>
        <v>Paid</v>
      </c>
      <c r="E169" s="13" t="n">
        <f aca="false">Claims_Data!G169</f>
        <v>187.73</v>
      </c>
      <c r="F169" s="13" t="n">
        <f aca="false">Claims_Data!H169</f>
        <v>141.19</v>
      </c>
      <c r="G169" s="7" t="str">
        <f aca="false">VLOOKUP(C169,Reimbursement_Rates!$A$18:$B$22,2,FALSE())</f>
        <v>Commercial_Rate</v>
      </c>
      <c r="H169" s="14" t="n">
        <f aca="false">INDEX(Reimbursement_Rates!$A$1:$G$11,MATCH(B169,Reimbursement_Rates!$A$1:$A$11,0),MATCH(G169,Reimbursement_Rates!$A$1:$G$1,0))</f>
        <v>145</v>
      </c>
      <c r="I169" s="14" t="n">
        <f aca="false">F169-H169</f>
        <v>-3.81</v>
      </c>
      <c r="J169" s="16" t="n">
        <f aca="false">IFERROR(I169/H169,0)</f>
        <v>-0.0262758620689655</v>
      </c>
    </row>
    <row r="170" customFormat="false" ht="15" hidden="false" customHeight="false" outlineLevel="0" collapsed="false">
      <c r="A170" s="12" t="n">
        <f aca="false">Claims_Data!A170</f>
        <v>100169</v>
      </c>
      <c r="B170" s="12" t="str">
        <f aca="false">Claims_Data!E170</f>
        <v>93000</v>
      </c>
      <c r="C170" s="12" t="str">
        <f aca="false">Claims_Data!D170</f>
        <v>Medicare</v>
      </c>
      <c r="D170" s="12" t="str">
        <f aca="false">Claims_Data!J170</f>
        <v>Paid</v>
      </c>
      <c r="E170" s="13" t="n">
        <f aca="false">Claims_Data!G170</f>
        <v>48.99</v>
      </c>
      <c r="F170" s="13" t="n">
        <f aca="false">Claims_Data!H170</f>
        <v>30.54</v>
      </c>
      <c r="G170" s="7" t="str">
        <f aca="false">VLOOKUP(C170,Reimbursement_Rates!$A$18:$B$22,2,FALSE())</f>
        <v>Medicare_Rate</v>
      </c>
      <c r="H170" s="14" t="n">
        <f aca="false">INDEX(Reimbursement_Rates!$A$1:$G$11,MATCH(B170,Reimbursement_Rates!$A$1:$A$11,0),MATCH(G170,Reimbursement_Rates!$A$1:$G$1,0))</f>
        <v>34</v>
      </c>
      <c r="I170" s="14" t="n">
        <f aca="false">F170-H170</f>
        <v>-3.46</v>
      </c>
      <c r="J170" s="16" t="n">
        <f aca="false">IFERROR(I170/H170,0)</f>
        <v>-0.101764705882353</v>
      </c>
    </row>
    <row r="171" customFormat="false" ht="15" hidden="false" customHeight="false" outlineLevel="0" collapsed="false">
      <c r="A171" s="12" t="n">
        <f aca="false">Claims_Data!A171</f>
        <v>100170</v>
      </c>
      <c r="B171" s="12" t="str">
        <f aca="false">Claims_Data!E171</f>
        <v>90935</v>
      </c>
      <c r="C171" s="12" t="str">
        <f aca="false">Claims_Data!D171</f>
        <v>Kaiser HMO</v>
      </c>
      <c r="D171" s="12" t="str">
        <f aca="false">Claims_Data!J171</f>
        <v>Paid</v>
      </c>
      <c r="E171" s="13" t="n">
        <f aca="false">Claims_Data!G171</f>
        <v>242.28</v>
      </c>
      <c r="F171" s="13" t="n">
        <f aca="false">Claims_Data!H171</f>
        <v>129.55</v>
      </c>
      <c r="G171" s="7" t="str">
        <f aca="false">VLOOKUP(C171,Reimbursement_Rates!$A$18:$B$22,2,FALSE())</f>
        <v>Kaiser_HMO_Rate</v>
      </c>
      <c r="H171" s="14" t="n">
        <f aca="false">INDEX(Reimbursement_Rates!$A$1:$G$11,MATCH(B171,Reimbursement_Rates!$A$1:$A$11,0),MATCH(G171,Reimbursement_Rates!$A$1:$G$1,0))</f>
        <v>155</v>
      </c>
      <c r="I171" s="14" t="n">
        <f aca="false">F171-H171</f>
        <v>-25.45</v>
      </c>
      <c r="J171" s="16" t="n">
        <f aca="false">IFERROR(I171/H171,0)</f>
        <v>-0.164193548387097</v>
      </c>
    </row>
    <row r="172" customFormat="false" ht="15" hidden="false" customHeight="false" outlineLevel="0" collapsed="false">
      <c r="A172" s="12" t="n">
        <f aca="false">Claims_Data!A172</f>
        <v>100171</v>
      </c>
      <c r="B172" s="12" t="str">
        <f aca="false">Claims_Data!E172</f>
        <v>90935</v>
      </c>
      <c r="C172" s="12" t="str">
        <f aca="false">Claims_Data!D172</f>
        <v>Medicare</v>
      </c>
      <c r="D172" s="12" t="str">
        <f aca="false">Claims_Data!J172</f>
        <v>Paid</v>
      </c>
      <c r="E172" s="13" t="n">
        <f aca="false">Claims_Data!G172</f>
        <v>172.92</v>
      </c>
      <c r="F172" s="13" t="n">
        <f aca="false">Claims_Data!H172</f>
        <v>146.95</v>
      </c>
      <c r="G172" s="7" t="str">
        <f aca="false">VLOOKUP(C172,Reimbursement_Rates!$A$18:$B$22,2,FALSE())</f>
        <v>Medicare_Rate</v>
      </c>
      <c r="H172" s="14" t="n">
        <f aca="false">INDEX(Reimbursement_Rates!$A$1:$G$11,MATCH(B172,Reimbursement_Rates!$A$1:$A$11,0),MATCH(G172,Reimbursement_Rates!$A$1:$G$1,0))</f>
        <v>145</v>
      </c>
      <c r="I172" s="14" t="n">
        <f aca="false">F172-H172</f>
        <v>1.94999999999999</v>
      </c>
      <c r="J172" s="16" t="n">
        <f aca="false">IFERROR(I172/H172,0)</f>
        <v>0.0134482758620689</v>
      </c>
    </row>
    <row r="173" customFormat="false" ht="15" hidden="false" customHeight="false" outlineLevel="0" collapsed="false">
      <c r="A173" s="12" t="n">
        <f aca="false">Claims_Data!A173</f>
        <v>100172</v>
      </c>
      <c r="B173" s="12" t="str">
        <f aca="false">Claims_Data!E173</f>
        <v>71046</v>
      </c>
      <c r="C173" s="12" t="str">
        <f aca="false">Claims_Data!D173</f>
        <v>Medicare</v>
      </c>
      <c r="D173" s="12" t="str">
        <f aca="false">Claims_Data!J173</f>
        <v>Paid</v>
      </c>
      <c r="E173" s="13" t="n">
        <f aca="false">Claims_Data!G173</f>
        <v>69.53</v>
      </c>
      <c r="F173" s="13" t="n">
        <f aca="false">Claims_Data!H173</f>
        <v>48.45</v>
      </c>
      <c r="G173" s="7" t="str">
        <f aca="false">VLOOKUP(C173,Reimbursement_Rates!$A$18:$B$22,2,FALSE())</f>
        <v>Medicare_Rate</v>
      </c>
      <c r="H173" s="14" t="n">
        <f aca="false">INDEX(Reimbursement_Rates!$A$1:$G$11,MATCH(B173,Reimbursement_Rates!$A$1:$A$11,0),MATCH(G173,Reimbursement_Rates!$A$1:$G$1,0))</f>
        <v>48</v>
      </c>
      <c r="I173" s="14" t="n">
        <f aca="false">F173-H173</f>
        <v>0.450000000000003</v>
      </c>
      <c r="J173" s="16" t="n">
        <f aca="false">IFERROR(I173/H173,0)</f>
        <v>0.00937500000000006</v>
      </c>
    </row>
    <row r="174" customFormat="false" ht="15" hidden="false" customHeight="false" outlineLevel="0" collapsed="false">
      <c r="A174" s="12" t="n">
        <f aca="false">Claims_Data!A174</f>
        <v>100173</v>
      </c>
      <c r="B174" s="12" t="str">
        <f aca="false">Claims_Data!E174</f>
        <v>99214</v>
      </c>
      <c r="C174" s="12" t="str">
        <f aca="false">Claims_Data!D174</f>
        <v>Commercial - Aetna</v>
      </c>
      <c r="D174" s="12" t="str">
        <f aca="false">Claims_Data!J174</f>
        <v>Paid</v>
      </c>
      <c r="E174" s="13" t="n">
        <f aca="false">Claims_Data!G174</f>
        <v>212.74</v>
      </c>
      <c r="F174" s="13" t="n">
        <f aca="false">Claims_Data!H174</f>
        <v>142.34</v>
      </c>
      <c r="G174" s="7" t="str">
        <f aca="false">VLOOKUP(C174,Reimbursement_Rates!$A$18:$B$22,2,FALSE())</f>
        <v>Commercial_Rate</v>
      </c>
      <c r="H174" s="14" t="n">
        <f aca="false">INDEX(Reimbursement_Rates!$A$1:$G$11,MATCH(B174,Reimbursement_Rates!$A$1:$A$11,0),MATCH(G174,Reimbursement_Rates!$A$1:$G$1,0))</f>
        <v>165</v>
      </c>
      <c r="I174" s="14" t="n">
        <f aca="false">F174-H174</f>
        <v>-22.66</v>
      </c>
      <c r="J174" s="16" t="n">
        <f aca="false">IFERROR(I174/H174,0)</f>
        <v>-0.137333333333333</v>
      </c>
    </row>
    <row r="175" customFormat="false" ht="15" hidden="false" customHeight="false" outlineLevel="0" collapsed="false">
      <c r="A175" s="12" t="n">
        <f aca="false">Claims_Data!A175</f>
        <v>100174</v>
      </c>
      <c r="B175" s="12" t="str">
        <f aca="false">Claims_Data!E175</f>
        <v>93000</v>
      </c>
      <c r="C175" s="12" t="str">
        <f aca="false">Claims_Data!D175</f>
        <v>Commercial - Blue Shield</v>
      </c>
      <c r="D175" s="12" t="str">
        <f aca="false">Claims_Data!J175</f>
        <v>Paid</v>
      </c>
      <c r="E175" s="13" t="n">
        <f aca="false">Claims_Data!G175</f>
        <v>57.76</v>
      </c>
      <c r="F175" s="13" t="n">
        <f aca="false">Claims_Data!H175</f>
        <v>43.25</v>
      </c>
      <c r="G175" s="7" t="str">
        <f aca="false">VLOOKUP(C175,Reimbursement_Rates!$A$18:$B$22,2,FALSE())</f>
        <v>Commercial_Rate</v>
      </c>
      <c r="H175" s="14" t="n">
        <f aca="false">INDEX(Reimbursement_Rates!$A$1:$G$11,MATCH(B175,Reimbursement_Rates!$A$1:$A$11,0),MATCH(G175,Reimbursement_Rates!$A$1:$G$1,0))</f>
        <v>44</v>
      </c>
      <c r="I175" s="14" t="n">
        <f aca="false">F175-H175</f>
        <v>-0.75</v>
      </c>
      <c r="J175" s="16" t="n">
        <f aca="false">IFERROR(I175/H175,0)</f>
        <v>-0.0170454545454545</v>
      </c>
    </row>
    <row r="176" customFormat="false" ht="15" hidden="false" customHeight="false" outlineLevel="0" collapsed="false">
      <c r="A176" s="12" t="n">
        <f aca="false">Claims_Data!A176</f>
        <v>100175</v>
      </c>
      <c r="B176" s="12" t="str">
        <f aca="false">Claims_Data!E176</f>
        <v>99215</v>
      </c>
      <c r="C176" s="12" t="str">
        <f aca="false">Claims_Data!D176</f>
        <v>Medicaid</v>
      </c>
      <c r="D176" s="12" t="str">
        <f aca="false">Claims_Data!J176</f>
        <v>Paid</v>
      </c>
      <c r="E176" s="13" t="n">
        <f aca="false">Claims_Data!G176</f>
        <v>147.59</v>
      </c>
      <c r="F176" s="13" t="n">
        <f aca="false">Claims_Data!H176</f>
        <v>96.99</v>
      </c>
      <c r="G176" s="7" t="str">
        <f aca="false">VLOOKUP(C176,Reimbursement_Rates!$A$18:$B$22,2,FALSE())</f>
        <v>Medicaid_Rate</v>
      </c>
      <c r="H176" s="14" t="n">
        <f aca="false">INDEX(Reimbursement_Rates!$A$1:$G$11,MATCH(B176,Reimbursement_Rates!$A$1:$A$11,0),MATCH(G176,Reimbursement_Rates!$A$1:$G$1,0))</f>
        <v>121</v>
      </c>
      <c r="I176" s="14" t="n">
        <f aca="false">F176-H176</f>
        <v>-24.01</v>
      </c>
      <c r="J176" s="16" t="n">
        <f aca="false">IFERROR(I176/H176,0)</f>
        <v>-0.198429752066116</v>
      </c>
    </row>
    <row r="177" customFormat="false" ht="15" hidden="false" customHeight="false" outlineLevel="0" collapsed="false">
      <c r="A177" s="12" t="n">
        <f aca="false">Claims_Data!A177</f>
        <v>100176</v>
      </c>
      <c r="B177" s="12" t="str">
        <f aca="false">Claims_Data!E177</f>
        <v>71046</v>
      </c>
      <c r="C177" s="12" t="str">
        <f aca="false">Claims_Data!D177</f>
        <v>Kaiser HMO</v>
      </c>
      <c r="D177" s="12" t="str">
        <f aca="false">Claims_Data!J177</f>
        <v>Paid</v>
      </c>
      <c r="E177" s="13" t="n">
        <f aca="false">Claims_Data!G177</f>
        <v>61.66</v>
      </c>
      <c r="F177" s="13" t="n">
        <f aca="false">Claims_Data!H177</f>
        <v>52.01</v>
      </c>
      <c r="G177" s="7" t="str">
        <f aca="false">VLOOKUP(C177,Reimbursement_Rates!$A$18:$B$22,2,FALSE())</f>
        <v>Kaiser_HMO_Rate</v>
      </c>
      <c r="H177" s="14" t="n">
        <f aca="false">INDEX(Reimbursement_Rates!$A$1:$G$11,MATCH(B177,Reimbursement_Rates!$A$1:$A$11,0),MATCH(G177,Reimbursement_Rates!$A$1:$G$1,0))</f>
        <v>51</v>
      </c>
      <c r="I177" s="14" t="n">
        <f aca="false">F177-H177</f>
        <v>1.01</v>
      </c>
      <c r="J177" s="16" t="n">
        <f aca="false">IFERROR(I177/H177,0)</f>
        <v>0.0198039215686274</v>
      </c>
    </row>
    <row r="178" customFormat="false" ht="15" hidden="false" customHeight="false" outlineLevel="0" collapsed="false">
      <c r="A178" s="12" t="n">
        <f aca="false">Claims_Data!A178</f>
        <v>100177</v>
      </c>
      <c r="B178" s="12" t="str">
        <f aca="false">Claims_Data!E178</f>
        <v>36415</v>
      </c>
      <c r="C178" s="12" t="str">
        <f aca="false">Claims_Data!D178</f>
        <v>Medicare</v>
      </c>
      <c r="D178" s="12" t="str">
        <f aca="false">Claims_Data!J178</f>
        <v>Paid</v>
      </c>
      <c r="E178" s="13" t="n">
        <f aca="false">Claims_Data!G178</f>
        <v>15.77</v>
      </c>
      <c r="F178" s="13" t="n">
        <f aca="false">Claims_Data!H178</f>
        <v>13.7</v>
      </c>
      <c r="G178" s="7" t="str">
        <f aca="false">VLOOKUP(C178,Reimbursement_Rates!$A$18:$B$22,2,FALSE())</f>
        <v>Medicare_Rate</v>
      </c>
      <c r="H178" s="14" t="n">
        <f aca="false">INDEX(Reimbursement_Rates!$A$1:$G$11,MATCH(B178,Reimbursement_Rates!$A$1:$A$11,0),MATCH(G178,Reimbursement_Rates!$A$1:$G$1,0))</f>
        <v>12</v>
      </c>
      <c r="I178" s="14" t="n">
        <f aca="false">F178-H178</f>
        <v>1.7</v>
      </c>
      <c r="J178" s="16" t="n">
        <f aca="false">IFERROR(I178/H178,0)</f>
        <v>0.141666666666667</v>
      </c>
    </row>
    <row r="179" customFormat="false" ht="15" hidden="false" customHeight="false" outlineLevel="0" collapsed="false">
      <c r="A179" s="12" t="n">
        <f aca="false">Claims_Data!A179</f>
        <v>100178</v>
      </c>
      <c r="B179" s="12" t="str">
        <f aca="false">Claims_Data!E179</f>
        <v>99203</v>
      </c>
      <c r="C179" s="12" t="str">
        <f aca="false">Claims_Data!D179</f>
        <v>Commercial - Aetna</v>
      </c>
      <c r="D179" s="12" t="str">
        <f aca="false">Claims_Data!J179</f>
        <v>Paid</v>
      </c>
      <c r="E179" s="13" t="n">
        <f aca="false">Claims_Data!G179</f>
        <v>186.94</v>
      </c>
      <c r="F179" s="13" t="n">
        <f aca="false">Claims_Data!H179</f>
        <v>147.92</v>
      </c>
      <c r="G179" s="7" t="str">
        <f aca="false">VLOOKUP(C179,Reimbursement_Rates!$A$18:$B$22,2,FALSE())</f>
        <v>Commercial_Rate</v>
      </c>
      <c r="H179" s="14" t="n">
        <f aca="false">INDEX(Reimbursement_Rates!$A$1:$G$11,MATCH(B179,Reimbursement_Rates!$A$1:$A$11,0),MATCH(G179,Reimbursement_Rates!$A$1:$G$1,0))</f>
        <v>145</v>
      </c>
      <c r="I179" s="14" t="n">
        <f aca="false">F179-H179</f>
        <v>2.91999999999999</v>
      </c>
      <c r="J179" s="16" t="n">
        <f aca="false">IFERROR(I179/H179,0)</f>
        <v>0.0201379310344827</v>
      </c>
    </row>
    <row r="180" customFormat="false" ht="15" hidden="false" customHeight="false" outlineLevel="0" collapsed="false">
      <c r="A180" s="12" t="n">
        <f aca="false">Claims_Data!A180</f>
        <v>100179</v>
      </c>
      <c r="B180" s="12" t="str">
        <f aca="false">Claims_Data!E180</f>
        <v>99204</v>
      </c>
      <c r="C180" s="12" t="str">
        <f aca="false">Claims_Data!D180</f>
        <v>Commercial - Blue Shield</v>
      </c>
      <c r="D180" s="12" t="str">
        <f aca="false">Claims_Data!J180</f>
        <v>Paid</v>
      </c>
      <c r="E180" s="13" t="n">
        <f aca="false">Claims_Data!G180</f>
        <v>345.04</v>
      </c>
      <c r="F180" s="13" t="n">
        <f aca="false">Claims_Data!H180</f>
        <v>225.34</v>
      </c>
      <c r="G180" s="7" t="str">
        <f aca="false">VLOOKUP(C180,Reimbursement_Rates!$A$18:$B$22,2,FALSE())</f>
        <v>Commercial_Rate</v>
      </c>
      <c r="H180" s="14" t="n">
        <f aca="false">INDEX(Reimbursement_Rates!$A$1:$G$11,MATCH(B180,Reimbursement_Rates!$A$1:$A$11,0),MATCH(G180,Reimbursement_Rates!$A$1:$G$1,0))</f>
        <v>230</v>
      </c>
      <c r="I180" s="14" t="n">
        <f aca="false">F180-H180</f>
        <v>-4.66</v>
      </c>
      <c r="J180" s="16" t="n">
        <f aca="false">IFERROR(I180/H180,0)</f>
        <v>-0.0202608695652174</v>
      </c>
    </row>
    <row r="181" customFormat="false" ht="15" hidden="false" customHeight="false" outlineLevel="0" collapsed="false">
      <c r="A181" s="12" t="n">
        <f aca="false">Claims_Data!A181</f>
        <v>100180</v>
      </c>
      <c r="B181" s="12" t="str">
        <f aca="false">Claims_Data!E181</f>
        <v>99213</v>
      </c>
      <c r="C181" s="12" t="str">
        <f aca="false">Claims_Data!D181</f>
        <v>Kaiser HMO</v>
      </c>
      <c r="D181" s="12" t="str">
        <f aca="false">Claims_Data!J181</f>
        <v>Paid</v>
      </c>
      <c r="E181" s="13" t="n">
        <f aca="false">Claims_Data!G181</f>
        <v>140.98</v>
      </c>
      <c r="F181" s="13" t="n">
        <f aca="false">Claims_Data!H181</f>
        <v>95.66</v>
      </c>
      <c r="G181" s="7" t="str">
        <f aca="false">VLOOKUP(C181,Reimbursement_Rates!$A$18:$B$22,2,FALSE())</f>
        <v>Kaiser_HMO_Rate</v>
      </c>
      <c r="H181" s="14" t="n">
        <f aca="false">INDEX(Reimbursement_Rates!$A$1:$G$11,MATCH(B181,Reimbursement_Rates!$A$1:$A$11,0),MATCH(G181,Reimbursement_Rates!$A$1:$G$1,0))</f>
        <v>98</v>
      </c>
      <c r="I181" s="14" t="n">
        <f aca="false">F181-H181</f>
        <v>-2.34</v>
      </c>
      <c r="J181" s="16" t="n">
        <f aca="false">IFERROR(I181/H181,0)</f>
        <v>-0.0238775510204082</v>
      </c>
    </row>
    <row r="182" customFormat="false" ht="15" hidden="false" customHeight="false" outlineLevel="0" collapsed="false">
      <c r="A182" s="12" t="n">
        <f aca="false">Claims_Data!A182</f>
        <v>100181</v>
      </c>
      <c r="B182" s="12" t="str">
        <f aca="false">Claims_Data!E182</f>
        <v>99214</v>
      </c>
      <c r="C182" s="12" t="str">
        <f aca="false">Claims_Data!D182</f>
        <v>Kaiser HMO</v>
      </c>
      <c r="D182" s="12" t="str">
        <f aca="false">Claims_Data!J182</f>
        <v>Paid</v>
      </c>
      <c r="E182" s="13" t="n">
        <f aca="false">Claims_Data!G182</f>
        <v>204.6</v>
      </c>
      <c r="F182" s="13" t="n">
        <f aca="false">Claims_Data!H182</f>
        <v>146.88</v>
      </c>
      <c r="G182" s="7" t="str">
        <f aca="false">VLOOKUP(C182,Reimbursement_Rates!$A$18:$B$22,2,FALSE())</f>
        <v>Kaiser_HMO_Rate</v>
      </c>
      <c r="H182" s="14" t="n">
        <f aca="false">INDEX(Reimbursement_Rates!$A$1:$G$11,MATCH(B182,Reimbursement_Rates!$A$1:$A$11,0),MATCH(G182,Reimbursement_Rates!$A$1:$G$1,0))</f>
        <v>137</v>
      </c>
      <c r="I182" s="14" t="n">
        <f aca="false">F182-H182</f>
        <v>9.88</v>
      </c>
      <c r="J182" s="16" t="n">
        <f aca="false">IFERROR(I182/H182,0)</f>
        <v>0.0721167883211678</v>
      </c>
    </row>
    <row r="183" customFormat="false" ht="15" hidden="false" customHeight="false" outlineLevel="0" collapsed="false">
      <c r="A183" s="12" t="n">
        <f aca="false">Claims_Data!A183</f>
        <v>100182</v>
      </c>
      <c r="B183" s="12" t="str">
        <f aca="false">Claims_Data!E183</f>
        <v>80053</v>
      </c>
      <c r="C183" s="12" t="str">
        <f aca="false">Claims_Data!D183</f>
        <v>Medicaid</v>
      </c>
      <c r="D183" s="12" t="str">
        <f aca="false">Claims_Data!J183</f>
        <v>Denied</v>
      </c>
      <c r="E183" s="13" t="n">
        <f aca="false">Claims_Data!G183</f>
        <v>21.67</v>
      </c>
      <c r="F183" s="13" t="n">
        <f aca="false">Claims_Data!H183</f>
        <v>0</v>
      </c>
      <c r="G183" s="7" t="str">
        <f aca="false">VLOOKUP(C183,Reimbursement_Rates!$A$18:$B$22,2,FALSE())</f>
        <v>Medicaid_Rate</v>
      </c>
      <c r="H183" s="14" t="n">
        <f aca="false">INDEX(Reimbursement_Rates!$A$1:$G$11,MATCH(B183,Reimbursement_Rates!$A$1:$A$11,0),MATCH(G183,Reimbursement_Rates!$A$1:$G$1,0))</f>
        <v>14</v>
      </c>
      <c r="I183" s="14" t="n">
        <f aca="false">F183-H183</f>
        <v>-14</v>
      </c>
      <c r="J183" s="16" t="n">
        <f aca="false">IFERROR(I183/H183,0)</f>
        <v>-1</v>
      </c>
    </row>
    <row r="184" customFormat="false" ht="15" hidden="false" customHeight="false" outlineLevel="0" collapsed="false">
      <c r="A184" s="12" t="n">
        <f aca="false">Claims_Data!A184</f>
        <v>100183</v>
      </c>
      <c r="B184" s="12" t="str">
        <f aca="false">Claims_Data!E184</f>
        <v>90935</v>
      </c>
      <c r="C184" s="12" t="str">
        <f aca="false">Claims_Data!D184</f>
        <v>Commercial - Aetna</v>
      </c>
      <c r="D184" s="12" t="str">
        <f aca="false">Claims_Data!J184</f>
        <v>Pending</v>
      </c>
      <c r="E184" s="13" t="n">
        <f aca="false">Claims_Data!G184</f>
        <v>234.89</v>
      </c>
      <c r="F184" s="13" t="n">
        <f aca="false">Claims_Data!H184</f>
        <v>0</v>
      </c>
      <c r="G184" s="7" t="str">
        <f aca="false">VLOOKUP(C184,Reimbursement_Rates!$A$18:$B$22,2,FALSE())</f>
        <v>Commercial_Rate</v>
      </c>
      <c r="H184" s="14" t="n">
        <f aca="false">INDEX(Reimbursement_Rates!$A$1:$G$11,MATCH(B184,Reimbursement_Rates!$A$1:$A$11,0),MATCH(G184,Reimbursement_Rates!$A$1:$G$1,0))</f>
        <v>187</v>
      </c>
      <c r="I184" s="14" t="n">
        <f aca="false">F184-H184</f>
        <v>-187</v>
      </c>
      <c r="J184" s="16" t="n">
        <f aca="false">IFERROR(I184/H184,0)</f>
        <v>-1</v>
      </c>
    </row>
    <row r="185" customFormat="false" ht="15" hidden="false" customHeight="false" outlineLevel="0" collapsed="false">
      <c r="A185" s="12" t="n">
        <f aca="false">Claims_Data!A185</f>
        <v>100184</v>
      </c>
      <c r="B185" s="12" t="str">
        <f aca="false">Claims_Data!E185</f>
        <v>90935</v>
      </c>
      <c r="C185" s="12" t="str">
        <f aca="false">Claims_Data!D185</f>
        <v>Medicare</v>
      </c>
      <c r="D185" s="12" t="str">
        <f aca="false">Claims_Data!J185</f>
        <v>Paid</v>
      </c>
      <c r="E185" s="13" t="n">
        <f aca="false">Claims_Data!G185</f>
        <v>227.49</v>
      </c>
      <c r="F185" s="13" t="n">
        <f aca="false">Claims_Data!H185</f>
        <v>147.54</v>
      </c>
      <c r="G185" s="7" t="str">
        <f aca="false">VLOOKUP(C185,Reimbursement_Rates!$A$18:$B$22,2,FALSE())</f>
        <v>Medicare_Rate</v>
      </c>
      <c r="H185" s="14" t="n">
        <f aca="false">INDEX(Reimbursement_Rates!$A$1:$G$11,MATCH(B185,Reimbursement_Rates!$A$1:$A$11,0),MATCH(G185,Reimbursement_Rates!$A$1:$G$1,0))</f>
        <v>145</v>
      </c>
      <c r="I185" s="14" t="n">
        <f aca="false">F185-H185</f>
        <v>2.53999999999999</v>
      </c>
      <c r="J185" s="16" t="n">
        <f aca="false">IFERROR(I185/H185,0)</f>
        <v>0.0175172413793103</v>
      </c>
    </row>
    <row r="186" customFormat="false" ht="15" hidden="false" customHeight="false" outlineLevel="0" collapsed="false">
      <c r="A186" s="12" t="n">
        <f aca="false">Claims_Data!A186</f>
        <v>100185</v>
      </c>
      <c r="B186" s="12" t="str">
        <f aca="false">Claims_Data!E186</f>
        <v>80053</v>
      </c>
      <c r="C186" s="12" t="str">
        <f aca="false">Claims_Data!D186</f>
        <v>Kaiser HMO</v>
      </c>
      <c r="D186" s="12" t="str">
        <f aca="false">Claims_Data!J186</f>
        <v>Paid</v>
      </c>
      <c r="E186" s="13" t="n">
        <f aca="false">Claims_Data!G186</f>
        <v>32.19</v>
      </c>
      <c r="F186" s="13" t="n">
        <f aca="false">Claims_Data!H186</f>
        <v>17.37</v>
      </c>
      <c r="G186" s="7" t="str">
        <f aca="false">VLOOKUP(C186,Reimbursement_Rates!$A$18:$B$22,2,FALSE())</f>
        <v>Kaiser_HMO_Rate</v>
      </c>
      <c r="H186" s="14" t="n">
        <f aca="false">INDEX(Reimbursement_Rates!$A$1:$G$11,MATCH(B186,Reimbursement_Rates!$A$1:$A$11,0),MATCH(G186,Reimbursement_Rates!$A$1:$G$1,0))</f>
        <v>22</v>
      </c>
      <c r="I186" s="14" t="n">
        <f aca="false">F186-H186</f>
        <v>-4.63</v>
      </c>
      <c r="J186" s="16" t="n">
        <f aca="false">IFERROR(I186/H186,0)</f>
        <v>-0.210454545454545</v>
      </c>
    </row>
    <row r="187" customFormat="false" ht="15" hidden="false" customHeight="false" outlineLevel="0" collapsed="false">
      <c r="A187" s="12" t="n">
        <f aca="false">Claims_Data!A187</f>
        <v>100186</v>
      </c>
      <c r="B187" s="12" t="str">
        <f aca="false">Claims_Data!E187</f>
        <v>99204</v>
      </c>
      <c r="C187" s="12" t="str">
        <f aca="false">Claims_Data!D187</f>
        <v>Medicare</v>
      </c>
      <c r="D187" s="12" t="str">
        <f aca="false">Claims_Data!J187</f>
        <v>Paid</v>
      </c>
      <c r="E187" s="13" t="n">
        <f aca="false">Claims_Data!G187</f>
        <v>221.97</v>
      </c>
      <c r="F187" s="13" t="n">
        <f aca="false">Claims_Data!H187</f>
        <v>203.16</v>
      </c>
      <c r="G187" s="7" t="str">
        <f aca="false">VLOOKUP(C187,Reimbursement_Rates!$A$18:$B$22,2,FALSE())</f>
        <v>Medicare_Rate</v>
      </c>
      <c r="H187" s="14" t="n">
        <f aca="false">INDEX(Reimbursement_Rates!$A$1:$G$11,MATCH(B187,Reimbursement_Rates!$A$1:$A$11,0),MATCH(G187,Reimbursement_Rates!$A$1:$G$1,0))</f>
        <v>178</v>
      </c>
      <c r="I187" s="14" t="n">
        <f aca="false">F187-H187</f>
        <v>25.16</v>
      </c>
      <c r="J187" s="16" t="n">
        <f aca="false">IFERROR(I187/H187,0)</f>
        <v>0.141348314606742</v>
      </c>
    </row>
    <row r="188" customFormat="false" ht="15" hidden="false" customHeight="false" outlineLevel="0" collapsed="false">
      <c r="A188" s="12" t="n">
        <f aca="false">Claims_Data!A188</f>
        <v>100187</v>
      </c>
      <c r="B188" s="12" t="str">
        <f aca="false">Claims_Data!E188</f>
        <v>99203</v>
      </c>
      <c r="C188" s="12" t="str">
        <f aca="false">Claims_Data!D188</f>
        <v>Kaiser HMO</v>
      </c>
      <c r="D188" s="12" t="str">
        <f aca="false">Claims_Data!J188</f>
        <v>Paid</v>
      </c>
      <c r="E188" s="13" t="n">
        <f aca="false">Claims_Data!G188</f>
        <v>154.26</v>
      </c>
      <c r="F188" s="13" t="n">
        <f aca="false">Claims_Data!H188</f>
        <v>122.12</v>
      </c>
      <c r="G188" s="7" t="str">
        <f aca="false">VLOOKUP(C188,Reimbursement_Rates!$A$18:$B$22,2,FALSE())</f>
        <v>Kaiser_HMO_Rate</v>
      </c>
      <c r="H188" s="14" t="n">
        <f aca="false">INDEX(Reimbursement_Rates!$A$1:$G$11,MATCH(B188,Reimbursement_Rates!$A$1:$A$11,0),MATCH(G188,Reimbursement_Rates!$A$1:$G$1,0))</f>
        <v>120</v>
      </c>
      <c r="I188" s="14" t="n">
        <f aca="false">F188-H188</f>
        <v>2.12</v>
      </c>
      <c r="J188" s="16" t="n">
        <f aca="false">IFERROR(I188/H188,0)</f>
        <v>0.0176666666666667</v>
      </c>
    </row>
    <row r="189" customFormat="false" ht="15" hidden="false" customHeight="false" outlineLevel="0" collapsed="false">
      <c r="A189" s="12" t="n">
        <f aca="false">Claims_Data!A189</f>
        <v>100188</v>
      </c>
      <c r="B189" s="12" t="str">
        <f aca="false">Claims_Data!E189</f>
        <v>80053</v>
      </c>
      <c r="C189" s="12" t="str">
        <f aca="false">Claims_Data!D189</f>
        <v>Medicare</v>
      </c>
      <c r="D189" s="12" t="str">
        <f aca="false">Claims_Data!J189</f>
        <v>Paid</v>
      </c>
      <c r="E189" s="13" t="n">
        <f aca="false">Claims_Data!G189</f>
        <v>29.79</v>
      </c>
      <c r="F189" s="13" t="n">
        <f aca="false">Claims_Data!H189</f>
        <v>20.67</v>
      </c>
      <c r="G189" s="7" t="str">
        <f aca="false">VLOOKUP(C189,Reimbursement_Rates!$A$18:$B$22,2,FALSE())</f>
        <v>Medicare_Rate</v>
      </c>
      <c r="H189" s="14" t="n">
        <f aca="false">INDEX(Reimbursement_Rates!$A$1:$G$11,MATCH(B189,Reimbursement_Rates!$A$1:$A$11,0),MATCH(G189,Reimbursement_Rates!$A$1:$G$1,0))</f>
        <v>21</v>
      </c>
      <c r="I189" s="14" t="n">
        <f aca="false">F189-H189</f>
        <v>-0.329999999999998</v>
      </c>
      <c r="J189" s="16" t="n">
        <f aca="false">IFERROR(I189/H189,0)</f>
        <v>-0.0157142857142856</v>
      </c>
    </row>
    <row r="190" customFormat="false" ht="15" hidden="false" customHeight="false" outlineLevel="0" collapsed="false">
      <c r="A190" s="12" t="n">
        <f aca="false">Claims_Data!A190</f>
        <v>100189</v>
      </c>
      <c r="B190" s="12" t="str">
        <f aca="false">Claims_Data!E190</f>
        <v>99213</v>
      </c>
      <c r="C190" s="12" t="str">
        <f aca="false">Claims_Data!D190</f>
        <v>Commercial - Blue Shield</v>
      </c>
      <c r="D190" s="12" t="str">
        <f aca="false">Claims_Data!J190</f>
        <v>Paid</v>
      </c>
      <c r="E190" s="13" t="n">
        <f aca="false">Claims_Data!G190</f>
        <v>168.35</v>
      </c>
      <c r="F190" s="13" t="n">
        <f aca="false">Claims_Data!H190</f>
        <v>119.16</v>
      </c>
      <c r="G190" s="7" t="str">
        <f aca="false">VLOOKUP(C190,Reimbursement_Rates!$A$18:$B$22,2,FALSE())</f>
        <v>Commercial_Rate</v>
      </c>
      <c r="H190" s="14" t="n">
        <f aca="false">INDEX(Reimbursement_Rates!$A$1:$G$11,MATCH(B190,Reimbursement_Rates!$A$1:$A$11,0),MATCH(G190,Reimbursement_Rates!$A$1:$G$1,0))</f>
        <v>118</v>
      </c>
      <c r="I190" s="14" t="n">
        <f aca="false">F190-H190</f>
        <v>1.16</v>
      </c>
      <c r="J190" s="16" t="n">
        <f aca="false">IFERROR(I190/H190,0)</f>
        <v>0.00983050847457624</v>
      </c>
    </row>
    <row r="191" customFormat="false" ht="15" hidden="false" customHeight="false" outlineLevel="0" collapsed="false">
      <c r="A191" s="12" t="n">
        <f aca="false">Claims_Data!A191</f>
        <v>100190</v>
      </c>
      <c r="B191" s="12" t="str">
        <f aca="false">Claims_Data!E191</f>
        <v>93000</v>
      </c>
      <c r="C191" s="12" t="str">
        <f aca="false">Claims_Data!D191</f>
        <v>Medicare</v>
      </c>
      <c r="D191" s="12" t="str">
        <f aca="false">Claims_Data!J191</f>
        <v>Paid</v>
      </c>
      <c r="E191" s="13" t="n">
        <f aca="false">Claims_Data!G191</f>
        <v>47.42</v>
      </c>
      <c r="F191" s="13" t="n">
        <f aca="false">Claims_Data!H191</f>
        <v>33.02</v>
      </c>
      <c r="G191" s="7" t="str">
        <f aca="false">VLOOKUP(C191,Reimbursement_Rates!$A$18:$B$22,2,FALSE())</f>
        <v>Medicare_Rate</v>
      </c>
      <c r="H191" s="14" t="n">
        <f aca="false">INDEX(Reimbursement_Rates!$A$1:$G$11,MATCH(B191,Reimbursement_Rates!$A$1:$A$11,0),MATCH(G191,Reimbursement_Rates!$A$1:$G$1,0))</f>
        <v>34</v>
      </c>
      <c r="I191" s="14" t="n">
        <f aca="false">F191-H191</f>
        <v>-0.979999999999997</v>
      </c>
      <c r="J191" s="16" t="n">
        <f aca="false">IFERROR(I191/H191,0)</f>
        <v>-0.0288235294117646</v>
      </c>
    </row>
    <row r="192" customFormat="false" ht="15" hidden="false" customHeight="false" outlineLevel="0" collapsed="false">
      <c r="A192" s="12" t="n">
        <f aca="false">Claims_Data!A192</f>
        <v>100191</v>
      </c>
      <c r="B192" s="12" t="str">
        <f aca="false">Claims_Data!E192</f>
        <v>90935</v>
      </c>
      <c r="C192" s="12" t="str">
        <f aca="false">Claims_Data!D192</f>
        <v>Commercial - Blue Shield</v>
      </c>
      <c r="D192" s="12" t="str">
        <f aca="false">Claims_Data!J192</f>
        <v>Paid</v>
      </c>
      <c r="E192" s="13" t="n">
        <f aca="false">Claims_Data!G192</f>
        <v>236.39</v>
      </c>
      <c r="F192" s="13" t="n">
        <f aca="false">Claims_Data!H192</f>
        <v>143.8</v>
      </c>
      <c r="G192" s="7" t="str">
        <f aca="false">VLOOKUP(C192,Reimbursement_Rates!$A$18:$B$22,2,FALSE())</f>
        <v>Commercial_Rate</v>
      </c>
      <c r="H192" s="14" t="n">
        <f aca="false">INDEX(Reimbursement_Rates!$A$1:$G$11,MATCH(B192,Reimbursement_Rates!$A$1:$A$11,0),MATCH(G192,Reimbursement_Rates!$A$1:$G$1,0))</f>
        <v>187</v>
      </c>
      <c r="I192" s="14" t="n">
        <f aca="false">F192-H192</f>
        <v>-43.2</v>
      </c>
      <c r="J192" s="16" t="n">
        <f aca="false">IFERROR(I192/H192,0)</f>
        <v>-0.231016042780749</v>
      </c>
    </row>
    <row r="193" customFormat="false" ht="15" hidden="false" customHeight="false" outlineLevel="0" collapsed="false">
      <c r="A193" s="12" t="n">
        <f aca="false">Claims_Data!A193</f>
        <v>100192</v>
      </c>
      <c r="B193" s="12" t="str">
        <f aca="false">Claims_Data!E193</f>
        <v>99213</v>
      </c>
      <c r="C193" s="12" t="str">
        <f aca="false">Claims_Data!D193</f>
        <v>Medicaid</v>
      </c>
      <c r="D193" s="12" t="str">
        <f aca="false">Claims_Data!J193</f>
        <v>Paid</v>
      </c>
      <c r="E193" s="13" t="n">
        <f aca="false">Claims_Data!G193</f>
        <v>79.82</v>
      </c>
      <c r="F193" s="13" t="n">
        <f aca="false">Claims_Data!H193</f>
        <v>62.21</v>
      </c>
      <c r="G193" s="7" t="str">
        <f aca="false">VLOOKUP(C193,Reimbursement_Rates!$A$18:$B$22,2,FALSE())</f>
        <v>Medicaid_Rate</v>
      </c>
      <c r="H193" s="14" t="n">
        <f aca="false">INDEX(Reimbursement_Rates!$A$1:$G$11,MATCH(B193,Reimbursement_Rates!$A$1:$A$11,0),MATCH(G193,Reimbursement_Rates!$A$1:$G$1,0))</f>
        <v>61</v>
      </c>
      <c r="I193" s="14" t="n">
        <f aca="false">F193-H193</f>
        <v>1.21</v>
      </c>
      <c r="J193" s="16" t="n">
        <f aca="false">IFERROR(I193/H193,0)</f>
        <v>0.0198360655737705</v>
      </c>
    </row>
    <row r="194" customFormat="false" ht="15" hidden="false" customHeight="false" outlineLevel="0" collapsed="false">
      <c r="A194" s="12" t="n">
        <f aca="false">Claims_Data!A194</f>
        <v>100193</v>
      </c>
      <c r="B194" s="12" t="str">
        <f aca="false">Claims_Data!E194</f>
        <v>99215</v>
      </c>
      <c r="C194" s="12" t="str">
        <f aca="false">Claims_Data!D194</f>
        <v>Medicaid</v>
      </c>
      <c r="D194" s="12" t="str">
        <f aca="false">Claims_Data!J194</f>
        <v>Paid</v>
      </c>
      <c r="E194" s="13" t="n">
        <f aca="false">Claims_Data!G194</f>
        <v>142.59</v>
      </c>
      <c r="F194" s="13" t="n">
        <f aca="false">Claims_Data!H194</f>
        <v>119.5</v>
      </c>
      <c r="G194" s="7" t="str">
        <f aca="false">VLOOKUP(C194,Reimbursement_Rates!$A$18:$B$22,2,FALSE())</f>
        <v>Medicaid_Rate</v>
      </c>
      <c r="H194" s="14" t="n">
        <f aca="false">INDEX(Reimbursement_Rates!$A$1:$G$11,MATCH(B194,Reimbursement_Rates!$A$1:$A$11,0),MATCH(G194,Reimbursement_Rates!$A$1:$G$1,0))</f>
        <v>121</v>
      </c>
      <c r="I194" s="14" t="n">
        <f aca="false">F194-H194</f>
        <v>-1.5</v>
      </c>
      <c r="J194" s="16" t="n">
        <f aca="false">IFERROR(I194/H194,0)</f>
        <v>-0.012396694214876</v>
      </c>
    </row>
    <row r="195" customFormat="false" ht="15" hidden="false" customHeight="false" outlineLevel="0" collapsed="false">
      <c r="A195" s="12" t="n">
        <f aca="false">Claims_Data!A195</f>
        <v>100194</v>
      </c>
      <c r="B195" s="12" t="str">
        <f aca="false">Claims_Data!E195</f>
        <v>90935</v>
      </c>
      <c r="C195" s="12" t="str">
        <f aca="false">Claims_Data!D195</f>
        <v>Medicare</v>
      </c>
      <c r="D195" s="12" t="str">
        <f aca="false">Claims_Data!J195</f>
        <v>Paid</v>
      </c>
      <c r="E195" s="13" t="n">
        <f aca="false">Claims_Data!G195</f>
        <v>227.65</v>
      </c>
      <c r="F195" s="13" t="n">
        <f aca="false">Claims_Data!H195</f>
        <v>164.06</v>
      </c>
      <c r="G195" s="7" t="str">
        <f aca="false">VLOOKUP(C195,Reimbursement_Rates!$A$18:$B$22,2,FALSE())</f>
        <v>Medicare_Rate</v>
      </c>
      <c r="H195" s="14" t="n">
        <f aca="false">INDEX(Reimbursement_Rates!$A$1:$G$11,MATCH(B195,Reimbursement_Rates!$A$1:$A$11,0),MATCH(G195,Reimbursement_Rates!$A$1:$G$1,0))</f>
        <v>145</v>
      </c>
      <c r="I195" s="14" t="n">
        <f aca="false">F195-H195</f>
        <v>19.06</v>
      </c>
      <c r="J195" s="16" t="n">
        <f aca="false">IFERROR(I195/H195,0)</f>
        <v>0.131448275862069</v>
      </c>
    </row>
    <row r="196" customFormat="false" ht="15" hidden="false" customHeight="false" outlineLevel="0" collapsed="false">
      <c r="A196" s="12" t="n">
        <f aca="false">Claims_Data!A196</f>
        <v>100195</v>
      </c>
      <c r="B196" s="12" t="str">
        <f aca="false">Claims_Data!E196</f>
        <v>99204</v>
      </c>
      <c r="C196" s="12" t="str">
        <f aca="false">Claims_Data!D196</f>
        <v>Medicaid</v>
      </c>
      <c r="D196" s="12" t="str">
        <f aca="false">Claims_Data!J196</f>
        <v>Paid</v>
      </c>
      <c r="E196" s="13" t="n">
        <f aca="false">Claims_Data!G196</f>
        <v>154.66</v>
      </c>
      <c r="F196" s="13" t="n">
        <f aca="false">Claims_Data!H196</f>
        <v>129.78</v>
      </c>
      <c r="G196" s="7" t="str">
        <f aca="false">VLOOKUP(C196,Reimbursement_Rates!$A$18:$B$22,2,FALSE())</f>
        <v>Medicaid_Rate</v>
      </c>
      <c r="H196" s="14" t="n">
        <f aca="false">INDEX(Reimbursement_Rates!$A$1:$G$11,MATCH(B196,Reimbursement_Rates!$A$1:$A$11,0),MATCH(G196,Reimbursement_Rates!$A$1:$G$1,0))</f>
        <v>118</v>
      </c>
      <c r="I196" s="14" t="n">
        <f aca="false">F196-H196</f>
        <v>11.78</v>
      </c>
      <c r="J196" s="16" t="n">
        <f aca="false">IFERROR(I196/H196,0)</f>
        <v>0.0998305084745763</v>
      </c>
    </row>
    <row r="197" customFormat="false" ht="15" hidden="false" customHeight="false" outlineLevel="0" collapsed="false">
      <c r="A197" s="12" t="n">
        <f aca="false">Claims_Data!A197</f>
        <v>100196</v>
      </c>
      <c r="B197" s="12" t="str">
        <f aca="false">Claims_Data!E197</f>
        <v>36415</v>
      </c>
      <c r="C197" s="12" t="str">
        <f aca="false">Claims_Data!D197</f>
        <v>Commercial - Blue Shield</v>
      </c>
      <c r="D197" s="12" t="str">
        <f aca="false">Claims_Data!J197</f>
        <v>Paid</v>
      </c>
      <c r="E197" s="13" t="n">
        <f aca="false">Claims_Data!G197</f>
        <v>23.75</v>
      </c>
      <c r="F197" s="13" t="n">
        <f aca="false">Claims_Data!H197</f>
        <v>16.45</v>
      </c>
      <c r="G197" s="7" t="str">
        <f aca="false">VLOOKUP(C197,Reimbursement_Rates!$A$18:$B$22,2,FALSE())</f>
        <v>Commercial_Rate</v>
      </c>
      <c r="H197" s="14" t="n">
        <f aca="false">INDEX(Reimbursement_Rates!$A$1:$G$11,MATCH(B197,Reimbursement_Rates!$A$1:$A$11,0),MATCH(G197,Reimbursement_Rates!$A$1:$G$1,0))</f>
        <v>16</v>
      </c>
      <c r="I197" s="14" t="n">
        <f aca="false">F197-H197</f>
        <v>0.449999999999999</v>
      </c>
      <c r="J197" s="16" t="n">
        <f aca="false">IFERROR(I197/H197,0)</f>
        <v>0.028125</v>
      </c>
    </row>
    <row r="198" customFormat="false" ht="15" hidden="false" customHeight="false" outlineLevel="0" collapsed="false">
      <c r="A198" s="12" t="n">
        <f aca="false">Claims_Data!A198</f>
        <v>100197</v>
      </c>
      <c r="B198" s="12" t="str">
        <f aca="false">Claims_Data!E198</f>
        <v>93000</v>
      </c>
      <c r="C198" s="12" t="str">
        <f aca="false">Claims_Data!D198</f>
        <v>Kaiser HMO</v>
      </c>
      <c r="D198" s="12" t="str">
        <f aca="false">Claims_Data!J198</f>
        <v>Paid</v>
      </c>
      <c r="E198" s="13" t="n">
        <f aca="false">Claims_Data!G198</f>
        <v>45.72</v>
      </c>
      <c r="F198" s="13" t="n">
        <f aca="false">Claims_Data!H198</f>
        <v>35.85</v>
      </c>
      <c r="G198" s="7" t="str">
        <f aca="false">VLOOKUP(C198,Reimbursement_Rates!$A$18:$B$22,2,FALSE())</f>
        <v>Kaiser_HMO_Rate</v>
      </c>
      <c r="H198" s="14" t="n">
        <f aca="false">INDEX(Reimbursement_Rates!$A$1:$G$11,MATCH(B198,Reimbursement_Rates!$A$1:$A$11,0),MATCH(G198,Reimbursement_Rates!$A$1:$G$1,0))</f>
        <v>36</v>
      </c>
      <c r="I198" s="14" t="n">
        <f aca="false">F198-H198</f>
        <v>-0.149999999999999</v>
      </c>
      <c r="J198" s="16" t="n">
        <f aca="false">IFERROR(I198/H198,0)</f>
        <v>-0.00416666666666663</v>
      </c>
    </row>
    <row r="199" customFormat="false" ht="15" hidden="false" customHeight="false" outlineLevel="0" collapsed="false">
      <c r="A199" s="12" t="n">
        <f aca="false">Claims_Data!A199</f>
        <v>100198</v>
      </c>
      <c r="B199" s="12" t="str">
        <f aca="false">Claims_Data!E199</f>
        <v>99214</v>
      </c>
      <c r="C199" s="12" t="str">
        <f aca="false">Claims_Data!D199</f>
        <v>Kaiser HMO</v>
      </c>
      <c r="D199" s="12" t="str">
        <f aca="false">Claims_Data!J199</f>
        <v>Paid</v>
      </c>
      <c r="E199" s="13" t="n">
        <f aca="false">Claims_Data!G199</f>
        <v>162.49</v>
      </c>
      <c r="F199" s="13" t="n">
        <f aca="false">Claims_Data!H199</f>
        <v>137.84</v>
      </c>
      <c r="G199" s="7" t="str">
        <f aca="false">VLOOKUP(C199,Reimbursement_Rates!$A$18:$B$22,2,FALSE())</f>
        <v>Kaiser_HMO_Rate</v>
      </c>
      <c r="H199" s="14" t="n">
        <f aca="false">INDEX(Reimbursement_Rates!$A$1:$G$11,MATCH(B199,Reimbursement_Rates!$A$1:$A$11,0),MATCH(G199,Reimbursement_Rates!$A$1:$G$1,0))</f>
        <v>137</v>
      </c>
      <c r="I199" s="14" t="n">
        <f aca="false">F199-H199</f>
        <v>0.840000000000003</v>
      </c>
      <c r="J199" s="16" t="n">
        <f aca="false">IFERROR(I199/H199,0)</f>
        <v>0.00613138686131389</v>
      </c>
    </row>
    <row r="200" customFormat="false" ht="15" hidden="false" customHeight="false" outlineLevel="0" collapsed="false">
      <c r="A200" s="12" t="n">
        <f aca="false">Claims_Data!A200</f>
        <v>100199</v>
      </c>
      <c r="B200" s="12" t="str">
        <f aca="false">Claims_Data!E200</f>
        <v>90935</v>
      </c>
      <c r="C200" s="12" t="str">
        <f aca="false">Claims_Data!D200</f>
        <v>Commercial - Blue Shield</v>
      </c>
      <c r="D200" s="12" t="str">
        <f aca="false">Claims_Data!J200</f>
        <v>Paid</v>
      </c>
      <c r="E200" s="13" t="n">
        <f aca="false">Claims_Data!G200</f>
        <v>252.68</v>
      </c>
      <c r="F200" s="13" t="n">
        <f aca="false">Claims_Data!H200</f>
        <v>213.6</v>
      </c>
      <c r="G200" s="7" t="str">
        <f aca="false">VLOOKUP(C200,Reimbursement_Rates!$A$18:$B$22,2,FALSE())</f>
        <v>Commercial_Rate</v>
      </c>
      <c r="H200" s="14" t="n">
        <f aca="false">INDEX(Reimbursement_Rates!$A$1:$G$11,MATCH(B200,Reimbursement_Rates!$A$1:$A$11,0),MATCH(G200,Reimbursement_Rates!$A$1:$G$1,0))</f>
        <v>187</v>
      </c>
      <c r="I200" s="14" t="n">
        <f aca="false">F200-H200</f>
        <v>26.6</v>
      </c>
      <c r="J200" s="16" t="n">
        <f aca="false">IFERROR(I200/H200,0)</f>
        <v>0.142245989304813</v>
      </c>
    </row>
    <row r="201" customFormat="false" ht="15" hidden="false" customHeight="false" outlineLevel="0" collapsed="false">
      <c r="A201" s="12" t="n">
        <f aca="false">Claims_Data!A201</f>
        <v>100200</v>
      </c>
      <c r="B201" s="12" t="str">
        <f aca="false">Claims_Data!E201</f>
        <v>99214</v>
      </c>
      <c r="C201" s="12" t="str">
        <f aca="false">Claims_Data!D201</f>
        <v>Medicare</v>
      </c>
      <c r="D201" s="12" t="str">
        <f aca="false">Claims_Data!J201</f>
        <v>Paid</v>
      </c>
      <c r="E201" s="13" t="n">
        <f aca="false">Claims_Data!G201</f>
        <v>185.86</v>
      </c>
      <c r="F201" s="13" t="n">
        <f aca="false">Claims_Data!H201</f>
        <v>129.92</v>
      </c>
      <c r="G201" s="7" t="str">
        <f aca="false">VLOOKUP(C201,Reimbursement_Rates!$A$18:$B$22,2,FALSE())</f>
        <v>Medicare_Rate</v>
      </c>
      <c r="H201" s="14" t="n">
        <f aca="false">INDEX(Reimbursement_Rates!$A$1:$G$11,MATCH(B201,Reimbursement_Rates!$A$1:$A$11,0),MATCH(G201,Reimbursement_Rates!$A$1:$G$1,0))</f>
        <v>128</v>
      </c>
      <c r="I201" s="14" t="n">
        <f aca="false">F201-H201</f>
        <v>1.91999999999999</v>
      </c>
      <c r="J201" s="16" t="n">
        <f aca="false">IFERROR(I201/H201,0)</f>
        <v>0.0149999999999999</v>
      </c>
    </row>
    <row r="202" customFormat="false" ht="15" hidden="false" customHeight="false" outlineLevel="0" collapsed="false">
      <c r="A202" s="12" t="n">
        <f aca="false">Claims_Data!A202</f>
        <v>100201</v>
      </c>
      <c r="B202" s="12" t="str">
        <f aca="false">Claims_Data!E202</f>
        <v>71046</v>
      </c>
      <c r="C202" s="12" t="str">
        <f aca="false">Claims_Data!D202</f>
        <v>Medicaid</v>
      </c>
      <c r="D202" s="12" t="str">
        <f aca="false">Claims_Data!J202</f>
        <v>Paid</v>
      </c>
      <c r="E202" s="13" t="n">
        <f aca="false">Claims_Data!G202</f>
        <v>46.56</v>
      </c>
      <c r="F202" s="13" t="n">
        <f aca="false">Claims_Data!H202</f>
        <v>31.49</v>
      </c>
      <c r="G202" s="7" t="str">
        <f aca="false">VLOOKUP(C202,Reimbursement_Rates!$A$18:$B$22,2,FALSE())</f>
        <v>Medicaid_Rate</v>
      </c>
      <c r="H202" s="14" t="n">
        <f aca="false">INDEX(Reimbursement_Rates!$A$1:$G$11,MATCH(B202,Reimbursement_Rates!$A$1:$A$11,0),MATCH(G202,Reimbursement_Rates!$A$1:$G$1,0))</f>
        <v>32</v>
      </c>
      <c r="I202" s="14" t="n">
        <f aca="false">F202-H202</f>
        <v>-0.510000000000002</v>
      </c>
      <c r="J202" s="16" t="n">
        <f aca="false">IFERROR(I202/H202,0)</f>
        <v>-0.0159375000000001</v>
      </c>
    </row>
    <row r="203" customFormat="false" ht="15" hidden="false" customHeight="false" outlineLevel="0" collapsed="false">
      <c r="A203" s="12" t="n">
        <f aca="false">Claims_Data!A203</f>
        <v>100202</v>
      </c>
      <c r="B203" s="12" t="str">
        <f aca="false">Claims_Data!E203</f>
        <v>71046</v>
      </c>
      <c r="C203" s="12" t="str">
        <f aca="false">Claims_Data!D203</f>
        <v>Commercial - Blue Shield</v>
      </c>
      <c r="D203" s="12" t="str">
        <f aca="false">Claims_Data!J203</f>
        <v>Paid</v>
      </c>
      <c r="E203" s="13" t="n">
        <f aca="false">Claims_Data!G203</f>
        <v>72.2</v>
      </c>
      <c r="F203" s="13" t="n">
        <f aca="false">Claims_Data!H203</f>
        <v>61.52</v>
      </c>
      <c r="G203" s="7" t="str">
        <f aca="false">VLOOKUP(C203,Reimbursement_Rates!$A$18:$B$22,2,FALSE())</f>
        <v>Commercial_Rate</v>
      </c>
      <c r="H203" s="14" t="n">
        <f aca="false">INDEX(Reimbursement_Rates!$A$1:$G$11,MATCH(B203,Reimbursement_Rates!$A$1:$A$11,0),MATCH(G203,Reimbursement_Rates!$A$1:$G$1,0))</f>
        <v>62</v>
      </c>
      <c r="I203" s="14" t="n">
        <f aca="false">F203-H203</f>
        <v>-0.479999999999997</v>
      </c>
      <c r="J203" s="16" t="n">
        <f aca="false">IFERROR(I203/H203,0)</f>
        <v>-0.00774193548387092</v>
      </c>
    </row>
    <row r="204" customFormat="false" ht="15" hidden="false" customHeight="false" outlineLevel="0" collapsed="false">
      <c r="A204" s="12" t="n">
        <f aca="false">Claims_Data!A204</f>
        <v>100203</v>
      </c>
      <c r="B204" s="12" t="str">
        <f aca="false">Claims_Data!E204</f>
        <v>99215</v>
      </c>
      <c r="C204" s="12" t="str">
        <f aca="false">Claims_Data!D204</f>
        <v>Commercial - Aetna</v>
      </c>
      <c r="D204" s="12" t="str">
        <f aca="false">Claims_Data!J204</f>
        <v>Paid</v>
      </c>
      <c r="E204" s="13" t="n">
        <f aca="false">Claims_Data!G204</f>
        <v>327.63</v>
      </c>
      <c r="F204" s="13" t="n">
        <f aca="false">Claims_Data!H204</f>
        <v>232.45</v>
      </c>
      <c r="G204" s="7" t="str">
        <f aca="false">VLOOKUP(C204,Reimbursement_Rates!$A$18:$B$22,2,FALSE())</f>
        <v>Commercial_Rate</v>
      </c>
      <c r="H204" s="14" t="n">
        <f aca="false">INDEX(Reimbursement_Rates!$A$1:$G$11,MATCH(B204,Reimbursement_Rates!$A$1:$A$11,0),MATCH(G204,Reimbursement_Rates!$A$1:$G$1,0))</f>
        <v>236</v>
      </c>
      <c r="I204" s="14" t="n">
        <f aca="false">F204-H204</f>
        <v>-3.55000000000001</v>
      </c>
      <c r="J204" s="16" t="n">
        <f aca="false">IFERROR(I204/H204,0)</f>
        <v>-0.015042372881356</v>
      </c>
    </row>
    <row r="205" customFormat="false" ht="15" hidden="false" customHeight="false" outlineLevel="0" collapsed="false">
      <c r="A205" s="12" t="n">
        <f aca="false">Claims_Data!A205</f>
        <v>100204</v>
      </c>
      <c r="B205" s="12" t="str">
        <f aca="false">Claims_Data!E205</f>
        <v>80053</v>
      </c>
      <c r="C205" s="12" t="str">
        <f aca="false">Claims_Data!D205</f>
        <v>Medicaid</v>
      </c>
      <c r="D205" s="12" t="str">
        <f aca="false">Claims_Data!J205</f>
        <v>Paid</v>
      </c>
      <c r="E205" s="13" t="n">
        <f aca="false">Claims_Data!G205</f>
        <v>19.36</v>
      </c>
      <c r="F205" s="13" t="n">
        <f aca="false">Claims_Data!H205</f>
        <v>14.23</v>
      </c>
      <c r="G205" s="7" t="str">
        <f aca="false">VLOOKUP(C205,Reimbursement_Rates!$A$18:$B$22,2,FALSE())</f>
        <v>Medicaid_Rate</v>
      </c>
      <c r="H205" s="14" t="n">
        <f aca="false">INDEX(Reimbursement_Rates!$A$1:$G$11,MATCH(B205,Reimbursement_Rates!$A$1:$A$11,0),MATCH(G205,Reimbursement_Rates!$A$1:$G$1,0))</f>
        <v>14</v>
      </c>
      <c r="I205" s="14" t="n">
        <f aca="false">F205-H205</f>
        <v>0.23</v>
      </c>
      <c r="J205" s="16" t="n">
        <f aca="false">IFERROR(I205/H205,0)</f>
        <v>0.0164285714285715</v>
      </c>
    </row>
    <row r="206" customFormat="false" ht="15" hidden="false" customHeight="false" outlineLevel="0" collapsed="false">
      <c r="A206" s="12" t="n">
        <f aca="false">Claims_Data!A206</f>
        <v>100205</v>
      </c>
      <c r="B206" s="12" t="str">
        <f aca="false">Claims_Data!E206</f>
        <v>99204</v>
      </c>
      <c r="C206" s="12" t="str">
        <f aca="false">Claims_Data!D206</f>
        <v>Commercial - Aetna</v>
      </c>
      <c r="D206" s="12" t="str">
        <f aca="false">Claims_Data!J206</f>
        <v>Pending</v>
      </c>
      <c r="E206" s="13" t="n">
        <f aca="false">Claims_Data!G206</f>
        <v>336.33</v>
      </c>
      <c r="F206" s="13" t="n">
        <f aca="false">Claims_Data!H206</f>
        <v>0</v>
      </c>
      <c r="G206" s="7" t="str">
        <f aca="false">VLOOKUP(C206,Reimbursement_Rates!$A$18:$B$22,2,FALSE())</f>
        <v>Commercial_Rate</v>
      </c>
      <c r="H206" s="14" t="n">
        <f aca="false">INDEX(Reimbursement_Rates!$A$1:$G$11,MATCH(B206,Reimbursement_Rates!$A$1:$A$11,0),MATCH(G206,Reimbursement_Rates!$A$1:$G$1,0))</f>
        <v>230</v>
      </c>
      <c r="I206" s="14" t="n">
        <f aca="false">F206-H206</f>
        <v>-230</v>
      </c>
      <c r="J206" s="16" t="n">
        <f aca="false">IFERROR(I206/H206,0)</f>
        <v>-1</v>
      </c>
    </row>
    <row r="207" customFormat="false" ht="15" hidden="false" customHeight="false" outlineLevel="0" collapsed="false">
      <c r="A207" s="12" t="n">
        <f aca="false">Claims_Data!A207</f>
        <v>100206</v>
      </c>
      <c r="B207" s="12" t="str">
        <f aca="false">Claims_Data!E207</f>
        <v>99214</v>
      </c>
      <c r="C207" s="12" t="str">
        <f aca="false">Claims_Data!D207</f>
        <v>Medicaid</v>
      </c>
      <c r="D207" s="12" t="str">
        <f aca="false">Claims_Data!J207</f>
        <v>Paid</v>
      </c>
      <c r="E207" s="13" t="n">
        <f aca="false">Claims_Data!G207</f>
        <v>113.69</v>
      </c>
      <c r="F207" s="13" t="n">
        <f aca="false">Claims_Data!H207</f>
        <v>81.92</v>
      </c>
      <c r="G207" s="7" t="str">
        <f aca="false">VLOOKUP(C207,Reimbursement_Rates!$A$18:$B$22,2,FALSE())</f>
        <v>Medicaid_Rate</v>
      </c>
      <c r="H207" s="14" t="n">
        <f aca="false">INDEX(Reimbursement_Rates!$A$1:$G$11,MATCH(B207,Reimbursement_Rates!$A$1:$A$11,0),MATCH(G207,Reimbursement_Rates!$A$1:$G$1,0))</f>
        <v>84</v>
      </c>
      <c r="I207" s="14" t="n">
        <f aca="false">F207-H207</f>
        <v>-2.08</v>
      </c>
      <c r="J207" s="16" t="n">
        <f aca="false">IFERROR(I207/H207,0)</f>
        <v>-0.0247619047619047</v>
      </c>
    </row>
    <row r="208" customFormat="false" ht="15" hidden="false" customHeight="false" outlineLevel="0" collapsed="false">
      <c r="A208" s="12" t="n">
        <f aca="false">Claims_Data!A208</f>
        <v>100207</v>
      </c>
      <c r="B208" s="12" t="str">
        <f aca="false">Claims_Data!E208</f>
        <v>93000</v>
      </c>
      <c r="C208" s="12" t="str">
        <f aca="false">Claims_Data!D208</f>
        <v>Medicare</v>
      </c>
      <c r="D208" s="12" t="str">
        <f aca="false">Claims_Data!J208</f>
        <v>Paid</v>
      </c>
      <c r="E208" s="13" t="n">
        <f aca="false">Claims_Data!G208</f>
        <v>47.4</v>
      </c>
      <c r="F208" s="13" t="n">
        <f aca="false">Claims_Data!H208</f>
        <v>39.33</v>
      </c>
      <c r="G208" s="7" t="str">
        <f aca="false">VLOOKUP(C208,Reimbursement_Rates!$A$18:$B$22,2,FALSE())</f>
        <v>Medicare_Rate</v>
      </c>
      <c r="H208" s="14" t="n">
        <f aca="false">INDEX(Reimbursement_Rates!$A$1:$G$11,MATCH(B208,Reimbursement_Rates!$A$1:$A$11,0),MATCH(G208,Reimbursement_Rates!$A$1:$G$1,0))</f>
        <v>34</v>
      </c>
      <c r="I208" s="14" t="n">
        <f aca="false">F208-H208</f>
        <v>5.33</v>
      </c>
      <c r="J208" s="16" t="n">
        <f aca="false">IFERROR(I208/H208,0)</f>
        <v>0.156764705882353</v>
      </c>
    </row>
    <row r="209" customFormat="false" ht="15" hidden="false" customHeight="false" outlineLevel="0" collapsed="false">
      <c r="A209" s="12" t="n">
        <f aca="false">Claims_Data!A209</f>
        <v>100208</v>
      </c>
      <c r="B209" s="12" t="str">
        <f aca="false">Claims_Data!E209</f>
        <v>99203</v>
      </c>
      <c r="C209" s="12" t="str">
        <f aca="false">Claims_Data!D209</f>
        <v>Commercial - Aetna</v>
      </c>
      <c r="D209" s="12" t="str">
        <f aca="false">Claims_Data!J209</f>
        <v>Paid</v>
      </c>
      <c r="E209" s="13" t="n">
        <f aca="false">Claims_Data!G209</f>
        <v>174.67</v>
      </c>
      <c r="F209" s="13" t="n">
        <f aca="false">Claims_Data!H209</f>
        <v>147.53</v>
      </c>
      <c r="G209" s="7" t="str">
        <f aca="false">VLOOKUP(C209,Reimbursement_Rates!$A$18:$B$22,2,FALSE())</f>
        <v>Commercial_Rate</v>
      </c>
      <c r="H209" s="14" t="n">
        <f aca="false">INDEX(Reimbursement_Rates!$A$1:$G$11,MATCH(B209,Reimbursement_Rates!$A$1:$A$11,0),MATCH(G209,Reimbursement_Rates!$A$1:$G$1,0))</f>
        <v>145</v>
      </c>
      <c r="I209" s="14" t="n">
        <f aca="false">F209-H209</f>
        <v>2.53</v>
      </c>
      <c r="J209" s="16" t="n">
        <f aca="false">IFERROR(I209/H209,0)</f>
        <v>0.017448275862069</v>
      </c>
    </row>
    <row r="210" customFormat="false" ht="15" hidden="false" customHeight="false" outlineLevel="0" collapsed="false">
      <c r="A210" s="12" t="n">
        <f aca="false">Claims_Data!A210</f>
        <v>100209</v>
      </c>
      <c r="B210" s="12" t="str">
        <f aca="false">Claims_Data!E210</f>
        <v>71046</v>
      </c>
      <c r="C210" s="12" t="str">
        <f aca="false">Claims_Data!D210</f>
        <v>Commercial - Aetna</v>
      </c>
      <c r="D210" s="12" t="str">
        <f aca="false">Claims_Data!J210</f>
        <v>Paid</v>
      </c>
      <c r="E210" s="13" t="n">
        <f aca="false">Claims_Data!G210</f>
        <v>81.59</v>
      </c>
      <c r="F210" s="13" t="n">
        <f aca="false">Claims_Data!H210</f>
        <v>62.42</v>
      </c>
      <c r="G210" s="7" t="str">
        <f aca="false">VLOOKUP(C210,Reimbursement_Rates!$A$18:$B$22,2,FALSE())</f>
        <v>Commercial_Rate</v>
      </c>
      <c r="H210" s="14" t="n">
        <f aca="false">INDEX(Reimbursement_Rates!$A$1:$G$11,MATCH(B210,Reimbursement_Rates!$A$1:$A$11,0),MATCH(G210,Reimbursement_Rates!$A$1:$G$1,0))</f>
        <v>62</v>
      </c>
      <c r="I210" s="14" t="n">
        <f aca="false">F210-H210</f>
        <v>0.420000000000002</v>
      </c>
      <c r="J210" s="16" t="n">
        <f aca="false">IFERROR(I210/H210,0)</f>
        <v>0.00677419354838712</v>
      </c>
    </row>
    <row r="211" customFormat="false" ht="15" hidden="false" customHeight="false" outlineLevel="0" collapsed="false">
      <c r="A211" s="12" t="n">
        <f aca="false">Claims_Data!A211</f>
        <v>100210</v>
      </c>
      <c r="B211" s="12" t="str">
        <f aca="false">Claims_Data!E211</f>
        <v>36415</v>
      </c>
      <c r="C211" s="12" t="str">
        <f aca="false">Claims_Data!D211</f>
        <v>Kaiser HMO</v>
      </c>
      <c r="D211" s="12" t="str">
        <f aca="false">Claims_Data!J211</f>
        <v>Paid</v>
      </c>
      <c r="E211" s="13" t="n">
        <f aca="false">Claims_Data!G211</f>
        <v>20.8</v>
      </c>
      <c r="F211" s="13" t="n">
        <f aca="false">Claims_Data!H211</f>
        <v>13.21</v>
      </c>
      <c r="G211" s="7" t="str">
        <f aca="false">VLOOKUP(C211,Reimbursement_Rates!$A$18:$B$22,2,FALSE())</f>
        <v>Kaiser_HMO_Rate</v>
      </c>
      <c r="H211" s="14" t="n">
        <f aca="false">INDEX(Reimbursement_Rates!$A$1:$G$11,MATCH(B211,Reimbursement_Rates!$A$1:$A$11,0),MATCH(G211,Reimbursement_Rates!$A$1:$G$1,0))</f>
        <v>13</v>
      </c>
      <c r="I211" s="14" t="n">
        <f aca="false">F211-H211</f>
        <v>0.210000000000001</v>
      </c>
      <c r="J211" s="16" t="n">
        <f aca="false">IFERROR(I211/H211,0)</f>
        <v>0.0161538461538462</v>
      </c>
    </row>
    <row r="212" customFormat="false" ht="15" hidden="false" customHeight="false" outlineLevel="0" collapsed="false">
      <c r="A212" s="12" t="n">
        <f aca="false">Claims_Data!A212</f>
        <v>100211</v>
      </c>
      <c r="B212" s="12" t="str">
        <f aca="false">Claims_Data!E212</f>
        <v>99214</v>
      </c>
      <c r="C212" s="12" t="str">
        <f aca="false">Claims_Data!D212</f>
        <v>Kaiser HMO</v>
      </c>
      <c r="D212" s="12" t="str">
        <f aca="false">Claims_Data!J212</f>
        <v>Paid</v>
      </c>
      <c r="E212" s="13" t="n">
        <f aca="false">Claims_Data!G212</f>
        <v>185.29</v>
      </c>
      <c r="F212" s="13" t="n">
        <f aca="false">Claims_Data!H212</f>
        <v>140.11</v>
      </c>
      <c r="G212" s="7" t="str">
        <f aca="false">VLOOKUP(C212,Reimbursement_Rates!$A$18:$B$22,2,FALSE())</f>
        <v>Kaiser_HMO_Rate</v>
      </c>
      <c r="H212" s="14" t="n">
        <f aca="false">INDEX(Reimbursement_Rates!$A$1:$G$11,MATCH(B212,Reimbursement_Rates!$A$1:$A$11,0),MATCH(G212,Reimbursement_Rates!$A$1:$G$1,0))</f>
        <v>137</v>
      </c>
      <c r="I212" s="14" t="n">
        <f aca="false">F212-H212</f>
        <v>3.11000000000001</v>
      </c>
      <c r="J212" s="16" t="n">
        <f aca="false">IFERROR(I212/H212,0)</f>
        <v>0.0227007299270074</v>
      </c>
    </row>
    <row r="213" customFormat="false" ht="15" hidden="false" customHeight="false" outlineLevel="0" collapsed="false">
      <c r="A213" s="12" t="n">
        <f aca="false">Claims_Data!A213</f>
        <v>100212</v>
      </c>
      <c r="B213" s="12" t="str">
        <f aca="false">Claims_Data!E213</f>
        <v>93000</v>
      </c>
      <c r="C213" s="12" t="str">
        <f aca="false">Claims_Data!D213</f>
        <v>Commercial - Blue Shield</v>
      </c>
      <c r="D213" s="12" t="str">
        <f aca="false">Claims_Data!J213</f>
        <v>Paid</v>
      </c>
      <c r="E213" s="13" t="n">
        <f aca="false">Claims_Data!G213</f>
        <v>68.63</v>
      </c>
      <c r="F213" s="13" t="n">
        <f aca="false">Claims_Data!H213</f>
        <v>43.08</v>
      </c>
      <c r="G213" s="7" t="str">
        <f aca="false">VLOOKUP(C213,Reimbursement_Rates!$A$18:$B$22,2,FALSE())</f>
        <v>Commercial_Rate</v>
      </c>
      <c r="H213" s="14" t="n">
        <f aca="false">INDEX(Reimbursement_Rates!$A$1:$G$11,MATCH(B213,Reimbursement_Rates!$A$1:$A$11,0),MATCH(G213,Reimbursement_Rates!$A$1:$G$1,0))</f>
        <v>44</v>
      </c>
      <c r="I213" s="14" t="n">
        <f aca="false">F213-H213</f>
        <v>-0.920000000000002</v>
      </c>
      <c r="J213" s="16" t="n">
        <f aca="false">IFERROR(I213/H213,0)</f>
        <v>-0.0209090909090909</v>
      </c>
    </row>
    <row r="214" customFormat="false" ht="15" hidden="false" customHeight="false" outlineLevel="0" collapsed="false">
      <c r="A214" s="12" t="n">
        <f aca="false">Claims_Data!A214</f>
        <v>100213</v>
      </c>
      <c r="B214" s="12" t="str">
        <f aca="false">Claims_Data!E214</f>
        <v>99203</v>
      </c>
      <c r="C214" s="12" t="str">
        <f aca="false">Claims_Data!D214</f>
        <v>Kaiser HMO</v>
      </c>
      <c r="D214" s="12" t="str">
        <f aca="false">Claims_Data!J214</f>
        <v>Denied</v>
      </c>
      <c r="E214" s="13" t="n">
        <f aca="false">Claims_Data!G214</f>
        <v>156.69</v>
      </c>
      <c r="F214" s="13" t="n">
        <f aca="false">Claims_Data!H214</f>
        <v>0</v>
      </c>
      <c r="G214" s="7" t="str">
        <f aca="false">VLOOKUP(C214,Reimbursement_Rates!$A$18:$B$22,2,FALSE())</f>
        <v>Kaiser_HMO_Rate</v>
      </c>
      <c r="H214" s="14" t="n">
        <f aca="false">INDEX(Reimbursement_Rates!$A$1:$G$11,MATCH(B214,Reimbursement_Rates!$A$1:$A$11,0),MATCH(G214,Reimbursement_Rates!$A$1:$G$1,0))</f>
        <v>120</v>
      </c>
      <c r="I214" s="14" t="n">
        <f aca="false">F214-H214</f>
        <v>-120</v>
      </c>
      <c r="J214" s="16" t="n">
        <f aca="false">IFERROR(I214/H214,0)</f>
        <v>-1</v>
      </c>
    </row>
    <row r="215" customFormat="false" ht="15" hidden="false" customHeight="false" outlineLevel="0" collapsed="false">
      <c r="A215" s="12" t="n">
        <f aca="false">Claims_Data!A215</f>
        <v>100214</v>
      </c>
      <c r="B215" s="12" t="str">
        <f aca="false">Claims_Data!E215</f>
        <v>93000</v>
      </c>
      <c r="C215" s="12" t="str">
        <f aca="false">Claims_Data!D215</f>
        <v>Medicaid</v>
      </c>
      <c r="D215" s="12" t="str">
        <f aca="false">Claims_Data!J215</f>
        <v>Paid</v>
      </c>
      <c r="E215" s="13" t="n">
        <f aca="false">Claims_Data!G215</f>
        <v>28.02</v>
      </c>
      <c r="F215" s="13" t="n">
        <f aca="false">Claims_Data!H215</f>
        <v>21.46</v>
      </c>
      <c r="G215" s="7" t="str">
        <f aca="false">VLOOKUP(C215,Reimbursement_Rates!$A$18:$B$22,2,FALSE())</f>
        <v>Medicaid_Rate</v>
      </c>
      <c r="H215" s="14" t="n">
        <f aca="false">INDEX(Reimbursement_Rates!$A$1:$G$11,MATCH(B215,Reimbursement_Rates!$A$1:$A$11,0),MATCH(G215,Reimbursement_Rates!$A$1:$G$1,0))</f>
        <v>22</v>
      </c>
      <c r="I215" s="14" t="n">
        <f aca="false">F215-H215</f>
        <v>-0.539999999999999</v>
      </c>
      <c r="J215" s="16" t="n">
        <f aca="false">IFERROR(I215/H215,0)</f>
        <v>-0.0245454545454545</v>
      </c>
    </row>
    <row r="216" customFormat="false" ht="15" hidden="false" customHeight="false" outlineLevel="0" collapsed="false">
      <c r="A216" s="12" t="n">
        <f aca="false">Claims_Data!A216</f>
        <v>100215</v>
      </c>
      <c r="B216" s="12" t="str">
        <f aca="false">Claims_Data!E216</f>
        <v>71046</v>
      </c>
      <c r="C216" s="12" t="str">
        <f aca="false">Claims_Data!D216</f>
        <v>Medicaid</v>
      </c>
      <c r="D216" s="12" t="str">
        <f aca="false">Claims_Data!J216</f>
        <v>Paid</v>
      </c>
      <c r="E216" s="13" t="n">
        <f aca="false">Claims_Data!G216</f>
        <v>47.18</v>
      </c>
      <c r="F216" s="13" t="n">
        <f aca="false">Claims_Data!H216</f>
        <v>26.01</v>
      </c>
      <c r="G216" s="7" t="str">
        <f aca="false">VLOOKUP(C216,Reimbursement_Rates!$A$18:$B$22,2,FALSE())</f>
        <v>Medicaid_Rate</v>
      </c>
      <c r="H216" s="14" t="n">
        <f aca="false">INDEX(Reimbursement_Rates!$A$1:$G$11,MATCH(B216,Reimbursement_Rates!$A$1:$A$11,0),MATCH(G216,Reimbursement_Rates!$A$1:$G$1,0))</f>
        <v>32</v>
      </c>
      <c r="I216" s="14" t="n">
        <f aca="false">F216-H216</f>
        <v>-5.99</v>
      </c>
      <c r="J216" s="16" t="n">
        <f aca="false">IFERROR(I216/H216,0)</f>
        <v>-0.1871875</v>
      </c>
    </row>
    <row r="217" customFormat="false" ht="15" hidden="false" customHeight="false" outlineLevel="0" collapsed="false">
      <c r="A217" s="12" t="n">
        <f aca="false">Claims_Data!A217</f>
        <v>100216</v>
      </c>
      <c r="B217" s="12" t="str">
        <f aca="false">Claims_Data!E217</f>
        <v>71046</v>
      </c>
      <c r="C217" s="12" t="str">
        <f aca="false">Claims_Data!D217</f>
        <v>Medicare</v>
      </c>
      <c r="D217" s="12" t="str">
        <f aca="false">Claims_Data!J217</f>
        <v>Paid</v>
      </c>
      <c r="E217" s="13" t="n">
        <f aca="false">Claims_Data!G217</f>
        <v>60.92</v>
      </c>
      <c r="F217" s="13" t="n">
        <f aca="false">Claims_Data!H217</f>
        <v>48.34</v>
      </c>
      <c r="G217" s="7" t="str">
        <f aca="false">VLOOKUP(C217,Reimbursement_Rates!$A$18:$B$22,2,FALSE())</f>
        <v>Medicare_Rate</v>
      </c>
      <c r="H217" s="14" t="n">
        <f aca="false">INDEX(Reimbursement_Rates!$A$1:$G$11,MATCH(B217,Reimbursement_Rates!$A$1:$A$11,0),MATCH(G217,Reimbursement_Rates!$A$1:$G$1,0))</f>
        <v>48</v>
      </c>
      <c r="I217" s="14" t="n">
        <f aca="false">F217-H217</f>
        <v>0.340000000000003</v>
      </c>
      <c r="J217" s="16" t="n">
        <f aca="false">IFERROR(I217/H217,0)</f>
        <v>0.0070833333333334</v>
      </c>
    </row>
    <row r="218" customFormat="false" ht="15" hidden="false" customHeight="false" outlineLevel="0" collapsed="false">
      <c r="A218" s="12" t="n">
        <f aca="false">Claims_Data!A218</f>
        <v>100217</v>
      </c>
      <c r="B218" s="12" t="str">
        <f aca="false">Claims_Data!E218</f>
        <v>99204</v>
      </c>
      <c r="C218" s="12" t="str">
        <f aca="false">Claims_Data!D218</f>
        <v>Commercial - Aetna</v>
      </c>
      <c r="D218" s="12" t="str">
        <f aca="false">Claims_Data!J218</f>
        <v>Paid</v>
      </c>
      <c r="E218" s="13" t="n">
        <f aca="false">Claims_Data!G218</f>
        <v>330.94</v>
      </c>
      <c r="F218" s="13" t="n">
        <f aca="false">Claims_Data!H218</f>
        <v>234.24</v>
      </c>
      <c r="G218" s="7" t="str">
        <f aca="false">VLOOKUP(C218,Reimbursement_Rates!$A$18:$B$22,2,FALSE())</f>
        <v>Commercial_Rate</v>
      </c>
      <c r="H218" s="14" t="n">
        <f aca="false">INDEX(Reimbursement_Rates!$A$1:$G$11,MATCH(B218,Reimbursement_Rates!$A$1:$A$11,0),MATCH(G218,Reimbursement_Rates!$A$1:$G$1,0))</f>
        <v>230</v>
      </c>
      <c r="I218" s="14" t="n">
        <f aca="false">F218-H218</f>
        <v>4.24000000000001</v>
      </c>
      <c r="J218" s="16" t="n">
        <f aca="false">IFERROR(I218/H218,0)</f>
        <v>0.0184347826086957</v>
      </c>
    </row>
    <row r="219" customFormat="false" ht="15" hidden="false" customHeight="false" outlineLevel="0" collapsed="false">
      <c r="A219" s="12" t="n">
        <f aca="false">Claims_Data!A219</f>
        <v>100218</v>
      </c>
      <c r="B219" s="12" t="str">
        <f aca="false">Claims_Data!E219</f>
        <v>99214</v>
      </c>
      <c r="C219" s="12" t="str">
        <f aca="false">Claims_Data!D219</f>
        <v>Commercial - Blue Shield</v>
      </c>
      <c r="D219" s="12" t="str">
        <f aca="false">Claims_Data!J219</f>
        <v>Paid</v>
      </c>
      <c r="E219" s="13" t="n">
        <f aca="false">Claims_Data!G219</f>
        <v>240.88</v>
      </c>
      <c r="F219" s="13" t="n">
        <f aca="false">Claims_Data!H219</f>
        <v>164.65</v>
      </c>
      <c r="G219" s="7" t="str">
        <f aca="false">VLOOKUP(C219,Reimbursement_Rates!$A$18:$B$22,2,FALSE())</f>
        <v>Commercial_Rate</v>
      </c>
      <c r="H219" s="14" t="n">
        <f aca="false">INDEX(Reimbursement_Rates!$A$1:$G$11,MATCH(B219,Reimbursement_Rates!$A$1:$A$11,0),MATCH(G219,Reimbursement_Rates!$A$1:$G$1,0))</f>
        <v>165</v>
      </c>
      <c r="I219" s="14" t="n">
        <f aca="false">F219-H219</f>
        <v>-0.349999999999994</v>
      </c>
      <c r="J219" s="16" t="n">
        <f aca="false">IFERROR(I219/H219,0)</f>
        <v>-0.00212121212121209</v>
      </c>
    </row>
    <row r="220" customFormat="false" ht="15" hidden="false" customHeight="false" outlineLevel="0" collapsed="false">
      <c r="A220" s="12" t="n">
        <f aca="false">Claims_Data!A220</f>
        <v>100219</v>
      </c>
      <c r="B220" s="12" t="str">
        <f aca="false">Claims_Data!E220</f>
        <v>90935</v>
      </c>
      <c r="C220" s="12" t="str">
        <f aca="false">Claims_Data!D220</f>
        <v>Kaiser HMO</v>
      </c>
      <c r="D220" s="12" t="str">
        <f aca="false">Claims_Data!J220</f>
        <v>Paid</v>
      </c>
      <c r="E220" s="13" t="n">
        <f aca="false">Claims_Data!G220</f>
        <v>229.46</v>
      </c>
      <c r="F220" s="13" t="n">
        <f aca="false">Claims_Data!H220</f>
        <v>165.79</v>
      </c>
      <c r="G220" s="7" t="str">
        <f aca="false">VLOOKUP(C220,Reimbursement_Rates!$A$18:$B$22,2,FALSE())</f>
        <v>Kaiser_HMO_Rate</v>
      </c>
      <c r="H220" s="14" t="n">
        <f aca="false">INDEX(Reimbursement_Rates!$A$1:$G$11,MATCH(B220,Reimbursement_Rates!$A$1:$A$11,0),MATCH(G220,Reimbursement_Rates!$A$1:$G$1,0))</f>
        <v>155</v>
      </c>
      <c r="I220" s="14" t="n">
        <f aca="false">F220-H220</f>
        <v>10.79</v>
      </c>
      <c r="J220" s="16" t="n">
        <f aca="false">IFERROR(I220/H220,0)</f>
        <v>0.0696129032258064</v>
      </c>
    </row>
    <row r="221" customFormat="false" ht="15" hidden="false" customHeight="false" outlineLevel="0" collapsed="false">
      <c r="A221" s="12" t="n">
        <f aca="false">Claims_Data!A221</f>
        <v>100220</v>
      </c>
      <c r="B221" s="12" t="str">
        <f aca="false">Claims_Data!E221</f>
        <v>99203</v>
      </c>
      <c r="C221" s="12" t="str">
        <f aca="false">Claims_Data!D221</f>
        <v>Kaiser HMO</v>
      </c>
      <c r="D221" s="12" t="str">
        <f aca="false">Claims_Data!J221</f>
        <v>Paid</v>
      </c>
      <c r="E221" s="13" t="n">
        <f aca="false">Claims_Data!G221</f>
        <v>163.19</v>
      </c>
      <c r="F221" s="13" t="n">
        <f aca="false">Claims_Data!H221</f>
        <v>117.1</v>
      </c>
      <c r="G221" s="7" t="str">
        <f aca="false">VLOOKUP(C221,Reimbursement_Rates!$A$18:$B$22,2,FALSE())</f>
        <v>Kaiser_HMO_Rate</v>
      </c>
      <c r="H221" s="14" t="n">
        <f aca="false">INDEX(Reimbursement_Rates!$A$1:$G$11,MATCH(B221,Reimbursement_Rates!$A$1:$A$11,0),MATCH(G221,Reimbursement_Rates!$A$1:$G$1,0))</f>
        <v>120</v>
      </c>
      <c r="I221" s="14" t="n">
        <f aca="false">F221-H221</f>
        <v>-2.90000000000001</v>
      </c>
      <c r="J221" s="16" t="n">
        <f aca="false">IFERROR(I221/H221,0)</f>
        <v>-0.0241666666666667</v>
      </c>
    </row>
    <row r="224" customFormat="false" ht="45" hidden="false" customHeight="true" outlineLevel="0" collapsed="false">
      <c r="A224" s="15" t="s">
        <v>253</v>
      </c>
      <c r="B224" s="15"/>
      <c r="C224" s="15"/>
      <c r="D224" s="15"/>
      <c r="E224" s="15"/>
      <c r="F224" s="15"/>
      <c r="G224" s="15"/>
      <c r="H224" s="15"/>
      <c r="I224" s="15"/>
      <c r="J224" s="15"/>
    </row>
  </sheetData>
  <mergeCells count="1">
    <mergeCell ref="A224:J2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6" t="s">
        <v>66</v>
      </c>
      <c r="B1" s="6" t="s">
        <v>72</v>
      </c>
      <c r="C1" s="6" t="s">
        <v>70</v>
      </c>
      <c r="D1" s="6" t="s">
        <v>71</v>
      </c>
      <c r="E1" s="6" t="s">
        <v>254</v>
      </c>
      <c r="F1" s="6" t="s">
        <v>252</v>
      </c>
      <c r="G1" s="6" t="s">
        <v>255</v>
      </c>
      <c r="H1" s="6" t="s">
        <v>256</v>
      </c>
    </row>
    <row r="2" customFormat="false" ht="15" hidden="false" customHeight="false" outlineLevel="0" collapsed="false">
      <c r="A2" s="12" t="n">
        <f aca="false">Claims_Data!A2</f>
        <v>100001</v>
      </c>
      <c r="B2" s="12" t="str">
        <f aca="false">Claims_Data!J2</f>
        <v>Paid</v>
      </c>
      <c r="C2" s="13" t="n">
        <f aca="false">Claims_Data!G2</f>
        <v>224.32</v>
      </c>
      <c r="D2" s="13" t="n">
        <f aca="false">Claims_Data!H2</f>
        <v>180.57</v>
      </c>
      <c r="E2" s="13" t="n">
        <f aca="false">INDEX_MATCH_Analysis!H2</f>
        <v>178</v>
      </c>
      <c r="F2" s="17" t="n">
        <f aca="false">INDEX_MATCH_Analysis!J2</f>
        <v>0.014438202247191</v>
      </c>
      <c r="G2" s="7" t="str">
        <f aca="false">IF(B2="Denied","Denied - RCA Needed",IF(B2="Pending","Pending - No Action",IF(E2=0,"No Rate on File",IF(ABS(F2)&lt;=0.05,"Within Threshold",IF(D2&lt;E2,"Underpaid - Escalate","Overpaid - Review")))))</f>
        <v>Within Threshold</v>
      </c>
      <c r="H2" s="7" t="str">
        <f aca="false">IF(AND(B2="Paid",ABS(F2)&gt;0.15,C2&gt;100),"High Priority Review","Standard")</f>
        <v>Standard</v>
      </c>
    </row>
    <row r="3" customFormat="false" ht="15" hidden="false" customHeight="false" outlineLevel="0" collapsed="false">
      <c r="A3" s="12" t="n">
        <f aca="false">Claims_Data!A3</f>
        <v>100002</v>
      </c>
      <c r="B3" s="12" t="str">
        <f aca="false">Claims_Data!J3</f>
        <v>Paid</v>
      </c>
      <c r="C3" s="13" t="n">
        <f aca="false">Claims_Data!G3</f>
        <v>109.68</v>
      </c>
      <c r="D3" s="13" t="n">
        <f aca="false">Claims_Data!H3</f>
        <v>92.34</v>
      </c>
      <c r="E3" s="13" t="n">
        <f aca="false">INDEX_MATCH_Analysis!H3</f>
        <v>92</v>
      </c>
      <c r="F3" s="17" t="n">
        <f aca="false">INDEX_MATCH_Analysis!J3</f>
        <v>0.00369565217391308</v>
      </c>
      <c r="G3" s="7" t="str">
        <f aca="false">IF(B3="Denied","Denied - RCA Needed",IF(B3="Pending","Pending - No Action",IF(E3=0,"No Rate on File",IF(ABS(F3)&lt;=0.05,"Within Threshold",IF(D3&lt;E3,"Underpaid - Escalate","Overpaid - Review")))))</f>
        <v>Within Threshold</v>
      </c>
      <c r="H3" s="7" t="str">
        <f aca="false">IF(AND(B3="Paid",ABS(F3)&gt;0.15,C3&gt;100),"High Priority Review","Standard")</f>
        <v>Standard</v>
      </c>
    </row>
    <row r="4" customFormat="false" ht="15" hidden="false" customHeight="false" outlineLevel="0" collapsed="false">
      <c r="A4" s="12" t="n">
        <f aca="false">Claims_Data!A4</f>
        <v>100003</v>
      </c>
      <c r="B4" s="12" t="str">
        <f aca="false">Claims_Data!J4</f>
        <v>Paid</v>
      </c>
      <c r="C4" s="13" t="n">
        <f aca="false">Claims_Data!G4</f>
        <v>79.06</v>
      </c>
      <c r="D4" s="13" t="n">
        <f aca="false">Claims_Data!H4</f>
        <v>45.38</v>
      </c>
      <c r="E4" s="13" t="n">
        <f aca="false">INDEX_MATCH_Analysis!H4</f>
        <v>62</v>
      </c>
      <c r="F4" s="17" t="n">
        <f aca="false">INDEX_MATCH_Analysis!J4</f>
        <v>-0.268064516129032</v>
      </c>
      <c r="G4" s="7" t="str">
        <f aca="false">IF(B4="Denied","Denied - RCA Needed",IF(B4="Pending","Pending - No Action",IF(E4=0,"No Rate on File",IF(ABS(F4)&lt;=0.05,"Within Threshold",IF(D4&lt;E4,"Underpaid - Escalate","Overpaid - Review")))))</f>
        <v>Underpaid - Escalate</v>
      </c>
      <c r="H4" s="7" t="str">
        <f aca="false">IF(AND(B4="Paid",ABS(F4)&gt;0.15,C4&gt;100),"High Priority Review","Standard")</f>
        <v>Standard</v>
      </c>
    </row>
    <row r="5" customFormat="false" ht="15" hidden="false" customHeight="false" outlineLevel="0" collapsed="false">
      <c r="A5" s="12" t="n">
        <f aca="false">Claims_Data!A5</f>
        <v>100004</v>
      </c>
      <c r="B5" s="12" t="str">
        <f aca="false">Claims_Data!J5</f>
        <v>Paid</v>
      </c>
      <c r="C5" s="13" t="n">
        <f aca="false">Claims_Data!G5</f>
        <v>244.39</v>
      </c>
      <c r="D5" s="13" t="n">
        <f aca="false">Claims_Data!H5</f>
        <v>194.59</v>
      </c>
      <c r="E5" s="13" t="n">
        <f aca="false">INDEX_MATCH_Analysis!H5</f>
        <v>196</v>
      </c>
      <c r="F5" s="17" t="n">
        <f aca="false">INDEX_MATCH_Analysis!J5</f>
        <v>-0.00719387755102039</v>
      </c>
      <c r="G5" s="7" t="str">
        <f aca="false">IF(B5="Denied","Denied - RCA Needed",IF(B5="Pending","Pending - No Action",IF(E5=0,"No Rate on File",IF(ABS(F5)&lt;=0.05,"Within Threshold",IF(D5&lt;E5,"Underpaid - Escalate","Overpaid - Review")))))</f>
        <v>Within Threshold</v>
      </c>
      <c r="H5" s="7" t="str">
        <f aca="false">IF(AND(B5="Paid",ABS(F5)&gt;0.15,C5&gt;100),"High Priority Review","Standard")</f>
        <v>Standard</v>
      </c>
    </row>
    <row r="6" customFormat="false" ht="15" hidden="false" customHeight="false" outlineLevel="0" collapsed="false">
      <c r="A6" s="12" t="n">
        <f aca="false">Claims_Data!A6</f>
        <v>100005</v>
      </c>
      <c r="B6" s="12" t="str">
        <f aca="false">Claims_Data!J6</f>
        <v>Paid</v>
      </c>
      <c r="C6" s="13" t="n">
        <f aca="false">Claims_Data!G6</f>
        <v>348.04</v>
      </c>
      <c r="D6" s="13" t="n">
        <f aca="false">Claims_Data!H6</f>
        <v>236.53</v>
      </c>
      <c r="E6" s="13" t="n">
        <f aca="false">INDEX_MATCH_Analysis!H6</f>
        <v>230</v>
      </c>
      <c r="F6" s="17" t="n">
        <f aca="false">INDEX_MATCH_Analysis!J6</f>
        <v>0.0283913043478261</v>
      </c>
      <c r="G6" s="7" t="str">
        <f aca="false">IF(B6="Denied","Denied - RCA Needed",IF(B6="Pending","Pending - No Action",IF(E6=0,"No Rate on File",IF(ABS(F6)&lt;=0.05,"Within Threshold",IF(D6&lt;E6,"Underpaid - Escalate","Overpaid - Review")))))</f>
        <v>Within Threshold</v>
      </c>
      <c r="H6" s="7" t="str">
        <f aca="false">IF(AND(B6="Paid",ABS(F6)&gt;0.15,C6&gt;100),"High Priority Review","Standard")</f>
        <v>Standard</v>
      </c>
    </row>
    <row r="7" customFormat="false" ht="15" hidden="false" customHeight="false" outlineLevel="0" collapsed="false">
      <c r="A7" s="12" t="n">
        <f aca="false">Claims_Data!A7</f>
        <v>100006</v>
      </c>
      <c r="B7" s="12" t="str">
        <f aca="false">Claims_Data!J7</f>
        <v>Paid</v>
      </c>
      <c r="C7" s="13" t="n">
        <f aca="false">Claims_Data!G7</f>
        <v>350.34</v>
      </c>
      <c r="D7" s="13" t="n">
        <f aca="false">Claims_Data!H7</f>
        <v>261.42</v>
      </c>
      <c r="E7" s="13" t="n">
        <f aca="false">INDEX_MATCH_Analysis!H7</f>
        <v>230</v>
      </c>
      <c r="F7" s="17" t="n">
        <f aca="false">INDEX_MATCH_Analysis!J7</f>
        <v>0.136608695652174</v>
      </c>
      <c r="G7" s="7" t="str">
        <f aca="false">IF(B7="Denied","Denied - RCA Needed",IF(B7="Pending","Pending - No Action",IF(E7=0,"No Rate on File",IF(ABS(F7)&lt;=0.05,"Within Threshold",IF(D7&lt;E7,"Underpaid - Escalate","Overpaid - Review")))))</f>
        <v>Overpaid - Review</v>
      </c>
      <c r="H7" s="7" t="str">
        <f aca="false">IF(AND(B7="Paid",ABS(F7)&gt;0.15,C7&gt;100),"High Priority Review","Standard")</f>
        <v>Standard</v>
      </c>
    </row>
    <row r="8" customFormat="false" ht="15" hidden="false" customHeight="false" outlineLevel="0" collapsed="false">
      <c r="A8" s="12" t="n">
        <f aca="false">Claims_Data!A8</f>
        <v>100007</v>
      </c>
      <c r="B8" s="12" t="str">
        <f aca="false">Claims_Data!J8</f>
        <v>Paid</v>
      </c>
      <c r="C8" s="13" t="n">
        <f aca="false">Claims_Data!G8</f>
        <v>188.02</v>
      </c>
      <c r="D8" s="13" t="n">
        <f aca="false">Claims_Data!H8</f>
        <v>130.63</v>
      </c>
      <c r="E8" s="13" t="n">
        <f aca="false">INDEX_MATCH_Analysis!H8</f>
        <v>118</v>
      </c>
      <c r="F8" s="17" t="n">
        <f aca="false">INDEX_MATCH_Analysis!J8</f>
        <v>0.107033898305085</v>
      </c>
      <c r="G8" s="7" t="str">
        <f aca="false">IF(B8="Denied","Denied - RCA Needed",IF(B8="Pending","Pending - No Action",IF(E8=0,"No Rate on File",IF(ABS(F8)&lt;=0.05,"Within Threshold",IF(D8&lt;E8,"Underpaid - Escalate","Overpaid - Review")))))</f>
        <v>Overpaid - Review</v>
      </c>
      <c r="H8" s="7" t="str">
        <f aca="false">IF(AND(B8="Paid",ABS(F8)&gt;0.15,C8&gt;100),"High Priority Review","Standard")</f>
        <v>Standard</v>
      </c>
    </row>
    <row r="9" customFormat="false" ht="15" hidden="false" customHeight="false" outlineLevel="0" collapsed="false">
      <c r="A9" s="12" t="n">
        <f aca="false">Claims_Data!A9</f>
        <v>100008</v>
      </c>
      <c r="B9" s="12" t="str">
        <f aca="false">Claims_Data!J9</f>
        <v>Paid</v>
      </c>
      <c r="C9" s="13" t="n">
        <f aca="false">Claims_Data!G9</f>
        <v>125.75</v>
      </c>
      <c r="D9" s="13" t="n">
        <f aca="false">Claims_Data!H9</f>
        <v>80.32</v>
      </c>
      <c r="E9" s="13" t="n">
        <f aca="false">INDEX_MATCH_Analysis!H9</f>
        <v>96</v>
      </c>
      <c r="F9" s="17" t="n">
        <f aca="false">INDEX_MATCH_Analysis!J9</f>
        <v>-0.163333333333333</v>
      </c>
      <c r="G9" s="7" t="str">
        <f aca="false">IF(B9="Denied","Denied - RCA Needed",IF(B9="Pending","Pending - No Action",IF(E9=0,"No Rate on File",IF(ABS(F9)&lt;=0.05,"Within Threshold",IF(D9&lt;E9,"Underpaid - Escalate","Overpaid - Review")))))</f>
        <v>Underpaid - Escalate</v>
      </c>
      <c r="H9" s="7" t="str">
        <f aca="false">IF(AND(B9="Paid",ABS(F9)&gt;0.15,C9&gt;100),"High Priority Review","Standard")</f>
        <v>High Priority Review</v>
      </c>
    </row>
    <row r="10" customFormat="false" ht="15" hidden="false" customHeight="false" outlineLevel="0" collapsed="false">
      <c r="A10" s="12" t="n">
        <f aca="false">Claims_Data!A10</f>
        <v>100009</v>
      </c>
      <c r="B10" s="12" t="str">
        <f aca="false">Claims_Data!J10</f>
        <v>Paid</v>
      </c>
      <c r="C10" s="13" t="n">
        <f aca="false">Claims_Data!G10</f>
        <v>177.41</v>
      </c>
      <c r="D10" s="13" t="n">
        <f aca="false">Claims_Data!H10</f>
        <v>166.17</v>
      </c>
      <c r="E10" s="13" t="n">
        <f aca="false">INDEX_MATCH_Analysis!H10</f>
        <v>145</v>
      </c>
      <c r="F10" s="17" t="n">
        <f aca="false">INDEX_MATCH_Analysis!J10</f>
        <v>0.146</v>
      </c>
      <c r="G10" s="7" t="str">
        <f aca="false">IF(B10="Denied","Denied - RCA Needed",IF(B10="Pending","Pending - No Action",IF(E10=0,"No Rate on File",IF(ABS(F10)&lt;=0.05,"Within Threshold",IF(D10&lt;E10,"Underpaid - Escalate","Overpaid - Review")))))</f>
        <v>Overpaid - Review</v>
      </c>
      <c r="H10" s="7" t="str">
        <f aca="false">IF(AND(B10="Paid",ABS(F10)&gt;0.15,C10&gt;100),"High Priority Review","Standard")</f>
        <v>Standard</v>
      </c>
    </row>
    <row r="11" customFormat="false" ht="15" hidden="false" customHeight="false" outlineLevel="0" collapsed="false">
      <c r="A11" s="12" t="n">
        <f aca="false">Claims_Data!A11</f>
        <v>100010</v>
      </c>
      <c r="B11" s="12" t="str">
        <f aca="false">Claims_Data!J11</f>
        <v>Paid</v>
      </c>
      <c r="C11" s="13" t="n">
        <f aca="false">Claims_Data!G11</f>
        <v>170.22</v>
      </c>
      <c r="D11" s="13" t="n">
        <f aca="false">Claims_Data!H11</f>
        <v>109.08</v>
      </c>
      <c r="E11" s="13" t="n">
        <f aca="false">INDEX_MATCH_Analysis!H11</f>
        <v>112</v>
      </c>
      <c r="F11" s="17" t="n">
        <f aca="false">INDEX_MATCH_Analysis!J11</f>
        <v>-0.0260714285714286</v>
      </c>
      <c r="G11" s="7" t="str">
        <f aca="false">IF(B11="Denied","Denied - RCA Needed",IF(B11="Pending","Pending - No Action",IF(E11=0,"No Rate on File",IF(ABS(F11)&lt;=0.05,"Within Threshold",IF(D11&lt;E11,"Underpaid - Escalate","Overpaid - Review")))))</f>
        <v>Within Threshold</v>
      </c>
      <c r="H11" s="7" t="str">
        <f aca="false">IF(AND(B11="Paid",ABS(F11)&gt;0.15,C11&gt;100),"High Priority Review","Standard")</f>
        <v>Standard</v>
      </c>
    </row>
    <row r="12" customFormat="false" ht="15" hidden="false" customHeight="false" outlineLevel="0" collapsed="false">
      <c r="A12" s="12" t="n">
        <f aca="false">Claims_Data!A12</f>
        <v>100011</v>
      </c>
      <c r="B12" s="12" t="str">
        <f aca="false">Claims_Data!J12</f>
        <v>Paid</v>
      </c>
      <c r="C12" s="13" t="n">
        <f aca="false">Claims_Data!G12</f>
        <v>24.77</v>
      </c>
      <c r="D12" s="13" t="n">
        <f aca="false">Claims_Data!H12</f>
        <v>15.65</v>
      </c>
      <c r="E12" s="13" t="n">
        <f aca="false">INDEX_MATCH_Analysis!H12</f>
        <v>16</v>
      </c>
      <c r="F12" s="17" t="n">
        <f aca="false">INDEX_MATCH_Analysis!J12</f>
        <v>-0.021875</v>
      </c>
      <c r="G12" s="7" t="str">
        <f aca="false">IF(B12="Denied","Denied - RCA Needed",IF(B12="Pending","Pending - No Action",IF(E12=0,"No Rate on File",IF(ABS(F12)&lt;=0.05,"Within Threshold",IF(D12&lt;E12,"Underpaid - Escalate","Overpaid - Review")))))</f>
        <v>Within Threshold</v>
      </c>
      <c r="H12" s="7" t="str">
        <f aca="false">IF(AND(B12="Paid",ABS(F12)&gt;0.15,C12&gt;100),"High Priority Review","Standard")</f>
        <v>Standard</v>
      </c>
    </row>
    <row r="13" customFormat="false" ht="15" hidden="false" customHeight="false" outlineLevel="0" collapsed="false">
      <c r="A13" s="12" t="n">
        <f aca="false">Claims_Data!A13</f>
        <v>100012</v>
      </c>
      <c r="B13" s="12" t="str">
        <f aca="false">Claims_Data!J13</f>
        <v>Pending</v>
      </c>
      <c r="C13" s="13" t="n">
        <f aca="false">Claims_Data!G13</f>
        <v>21.01</v>
      </c>
      <c r="D13" s="13" t="n">
        <f aca="false">Claims_Data!H13</f>
        <v>0</v>
      </c>
      <c r="E13" s="13" t="n">
        <f aca="false">INDEX_MATCH_Analysis!H13</f>
        <v>16</v>
      </c>
      <c r="F13" s="17" t="n">
        <f aca="false">INDEX_MATCH_Analysis!J13</f>
        <v>-1</v>
      </c>
      <c r="G13" s="7" t="str">
        <f aca="false">IF(B13="Denied","Denied - RCA Needed",IF(B13="Pending","Pending - No Action",IF(E13=0,"No Rate on File",IF(ABS(F13)&lt;=0.05,"Within Threshold",IF(D13&lt;E13,"Underpaid - Escalate","Overpaid - Review")))))</f>
        <v>Pending - No Action</v>
      </c>
      <c r="H13" s="7" t="str">
        <f aca="false">IF(AND(B13="Paid",ABS(F13)&gt;0.15,C13&gt;100),"High Priority Review","Standard")</f>
        <v>Standard</v>
      </c>
    </row>
    <row r="14" customFormat="false" ht="15" hidden="false" customHeight="false" outlineLevel="0" collapsed="false">
      <c r="A14" s="12" t="n">
        <f aca="false">Claims_Data!A14</f>
        <v>100013</v>
      </c>
      <c r="B14" s="12" t="str">
        <f aca="false">Claims_Data!J14</f>
        <v>Paid</v>
      </c>
      <c r="C14" s="13" t="n">
        <f aca="false">Claims_Data!G14</f>
        <v>141.45</v>
      </c>
      <c r="D14" s="13" t="n">
        <f aca="false">Claims_Data!H14</f>
        <v>93</v>
      </c>
      <c r="E14" s="13" t="n">
        <f aca="false">INDEX_MATCH_Analysis!H14</f>
        <v>92</v>
      </c>
      <c r="F14" s="17" t="n">
        <f aca="false">INDEX_MATCH_Analysis!J14</f>
        <v>0.0108695652173913</v>
      </c>
      <c r="G14" s="7" t="str">
        <f aca="false">IF(B14="Denied","Denied - RCA Needed",IF(B14="Pending","Pending - No Action",IF(E14=0,"No Rate on File",IF(ABS(F14)&lt;=0.05,"Within Threshold",IF(D14&lt;E14,"Underpaid - Escalate","Overpaid - Review")))))</f>
        <v>Within Threshold</v>
      </c>
      <c r="H14" s="7" t="str">
        <f aca="false">IF(AND(B14="Paid",ABS(F14)&gt;0.15,C14&gt;100),"High Priority Review","Standard")</f>
        <v>Standard</v>
      </c>
    </row>
    <row r="15" customFormat="false" ht="15" hidden="false" customHeight="false" outlineLevel="0" collapsed="false">
      <c r="A15" s="12" t="n">
        <f aca="false">Claims_Data!A15</f>
        <v>100014</v>
      </c>
      <c r="B15" s="12" t="str">
        <f aca="false">Claims_Data!J15</f>
        <v>Paid</v>
      </c>
      <c r="C15" s="13" t="n">
        <f aca="false">Claims_Data!G15</f>
        <v>99.09</v>
      </c>
      <c r="D15" s="13" t="n">
        <f aca="false">Claims_Data!H15</f>
        <v>73.11</v>
      </c>
      <c r="E15" s="13" t="n">
        <f aca="false">INDEX_MATCH_Analysis!H15</f>
        <v>62</v>
      </c>
      <c r="F15" s="17" t="n">
        <f aca="false">INDEX_MATCH_Analysis!J15</f>
        <v>0.179193548387097</v>
      </c>
      <c r="G15" s="7" t="str">
        <f aca="false">IF(B15="Denied","Denied - RCA Needed",IF(B15="Pending","Pending - No Action",IF(E15=0,"No Rate on File",IF(ABS(F15)&lt;=0.05,"Within Threshold",IF(D15&lt;E15,"Underpaid - Escalate","Overpaid - Review")))))</f>
        <v>Overpaid - Review</v>
      </c>
      <c r="H15" s="7" t="str">
        <f aca="false">IF(AND(B15="Paid",ABS(F15)&gt;0.15,C15&gt;100),"High Priority Review","Standard")</f>
        <v>Standard</v>
      </c>
    </row>
    <row r="16" customFormat="false" ht="15" hidden="false" customHeight="false" outlineLevel="0" collapsed="false">
      <c r="A16" s="12" t="n">
        <f aca="false">Claims_Data!A16</f>
        <v>100015</v>
      </c>
      <c r="B16" s="12" t="str">
        <f aca="false">Claims_Data!J16</f>
        <v>Paid</v>
      </c>
      <c r="C16" s="13" t="n">
        <f aca="false">Claims_Data!G16</f>
        <v>344.05</v>
      </c>
      <c r="D16" s="13" t="n">
        <f aca="false">Claims_Data!H16</f>
        <v>225.28</v>
      </c>
      <c r="E16" s="13" t="n">
        <f aca="false">INDEX_MATCH_Analysis!H16</f>
        <v>230</v>
      </c>
      <c r="F16" s="17" t="n">
        <f aca="false">INDEX_MATCH_Analysis!J16</f>
        <v>-0.0205217391304348</v>
      </c>
      <c r="G16" s="7" t="str">
        <f aca="false">IF(B16="Denied","Denied - RCA Needed",IF(B16="Pending","Pending - No Action",IF(E16=0,"No Rate on File",IF(ABS(F16)&lt;=0.05,"Within Threshold",IF(D16&lt;E16,"Underpaid - Escalate","Overpaid - Review")))))</f>
        <v>Within Threshold</v>
      </c>
      <c r="H16" s="7" t="str">
        <f aca="false">IF(AND(B16="Paid",ABS(F16)&gt;0.15,C16&gt;100),"High Priority Review","Standard")</f>
        <v>Standard</v>
      </c>
    </row>
    <row r="17" customFormat="false" ht="15" hidden="false" customHeight="false" outlineLevel="0" collapsed="false">
      <c r="A17" s="12" t="n">
        <f aca="false">Claims_Data!A17</f>
        <v>100016</v>
      </c>
      <c r="B17" s="12" t="str">
        <f aca="false">Claims_Data!J17</f>
        <v>Paid</v>
      </c>
      <c r="C17" s="13" t="n">
        <f aca="false">Claims_Data!G17</f>
        <v>325.32</v>
      </c>
      <c r="D17" s="13" t="n">
        <f aca="false">Claims_Data!H17</f>
        <v>240.84</v>
      </c>
      <c r="E17" s="13" t="n">
        <f aca="false">INDEX_MATCH_Analysis!H17</f>
        <v>236</v>
      </c>
      <c r="F17" s="17" t="n">
        <f aca="false">INDEX_MATCH_Analysis!J17</f>
        <v>0.0205084745762712</v>
      </c>
      <c r="G17" s="7" t="str">
        <f aca="false">IF(B17="Denied","Denied - RCA Needed",IF(B17="Pending","Pending - No Action",IF(E17=0,"No Rate on File",IF(ABS(F17)&lt;=0.05,"Within Threshold",IF(D17&lt;E17,"Underpaid - Escalate","Overpaid - Review")))))</f>
        <v>Within Threshold</v>
      </c>
      <c r="H17" s="7" t="str">
        <f aca="false">IF(AND(B17="Paid",ABS(F17)&gt;0.15,C17&gt;100),"High Priority Review","Standard")</f>
        <v>Standard</v>
      </c>
    </row>
    <row r="18" customFormat="false" ht="15" hidden="false" customHeight="false" outlineLevel="0" collapsed="false">
      <c r="A18" s="12" t="n">
        <f aca="false">Claims_Data!A18</f>
        <v>100017</v>
      </c>
      <c r="B18" s="12" t="str">
        <f aca="false">Claims_Data!J18</f>
        <v>Paid</v>
      </c>
      <c r="C18" s="13" t="n">
        <f aca="false">Claims_Data!G18</f>
        <v>143.34</v>
      </c>
      <c r="D18" s="13" t="n">
        <f aca="false">Claims_Data!H18</f>
        <v>77.38</v>
      </c>
      <c r="E18" s="13" t="n">
        <f aca="false">INDEX_MATCH_Analysis!H18</f>
        <v>96</v>
      </c>
      <c r="F18" s="17" t="n">
        <f aca="false">INDEX_MATCH_Analysis!J18</f>
        <v>-0.193958333333333</v>
      </c>
      <c r="G18" s="7" t="str">
        <f aca="false">IF(B18="Denied","Denied - RCA Needed",IF(B18="Pending","Pending - No Action",IF(E18=0,"No Rate on File",IF(ABS(F18)&lt;=0.05,"Within Threshold",IF(D18&lt;E18,"Underpaid - Escalate","Overpaid - Review")))))</f>
        <v>Underpaid - Escalate</v>
      </c>
      <c r="H18" s="7" t="str">
        <f aca="false">IF(AND(B18="Paid",ABS(F18)&gt;0.15,C18&gt;100),"High Priority Review","Standard")</f>
        <v>High Priority Review</v>
      </c>
    </row>
    <row r="19" customFormat="false" ht="15" hidden="false" customHeight="false" outlineLevel="0" collapsed="false">
      <c r="A19" s="12" t="n">
        <f aca="false">Claims_Data!A19</f>
        <v>100018</v>
      </c>
      <c r="B19" s="12" t="str">
        <f aca="false">Claims_Data!J19</f>
        <v>Paid</v>
      </c>
      <c r="C19" s="13" t="n">
        <f aca="false">Claims_Data!G19</f>
        <v>141.64</v>
      </c>
      <c r="D19" s="13" t="n">
        <f aca="false">Claims_Data!H19</f>
        <v>138.18</v>
      </c>
      <c r="E19" s="13" t="n">
        <f aca="false">INDEX_MATCH_Analysis!H19</f>
        <v>118</v>
      </c>
      <c r="F19" s="17" t="n">
        <f aca="false">INDEX_MATCH_Analysis!J19</f>
        <v>0.171016949152542</v>
      </c>
      <c r="G19" s="7" t="str">
        <f aca="false">IF(B19="Denied","Denied - RCA Needed",IF(B19="Pending","Pending - No Action",IF(E19=0,"No Rate on File",IF(ABS(F19)&lt;=0.05,"Within Threshold",IF(D19&lt;E19,"Underpaid - Escalate","Overpaid - Review")))))</f>
        <v>Overpaid - Review</v>
      </c>
      <c r="H19" s="7" t="str">
        <f aca="false">IF(AND(B19="Paid",ABS(F19)&gt;0.15,C19&gt;100),"High Priority Review","Standard")</f>
        <v>High Priority Review</v>
      </c>
    </row>
    <row r="20" customFormat="false" ht="15" hidden="false" customHeight="false" outlineLevel="0" collapsed="false">
      <c r="A20" s="12" t="n">
        <f aca="false">Claims_Data!A20</f>
        <v>100019</v>
      </c>
      <c r="B20" s="12" t="str">
        <f aca="false">Claims_Data!J20</f>
        <v>Paid</v>
      </c>
      <c r="C20" s="13" t="n">
        <f aca="false">Claims_Data!G20</f>
        <v>50.44</v>
      </c>
      <c r="D20" s="13" t="n">
        <f aca="false">Claims_Data!H20</f>
        <v>31.17</v>
      </c>
      <c r="E20" s="13" t="n">
        <f aca="false">INDEX_MATCH_Analysis!H20</f>
        <v>32</v>
      </c>
      <c r="F20" s="17" t="n">
        <f aca="false">INDEX_MATCH_Analysis!J20</f>
        <v>-0.0259374999999999</v>
      </c>
      <c r="G20" s="7" t="str">
        <f aca="false">IF(B20="Denied","Denied - RCA Needed",IF(B20="Pending","Pending - No Action",IF(E20=0,"No Rate on File",IF(ABS(F20)&lt;=0.05,"Within Threshold",IF(D20&lt;E20,"Underpaid - Escalate","Overpaid - Review")))))</f>
        <v>Within Threshold</v>
      </c>
      <c r="H20" s="7" t="str">
        <f aca="false">IF(AND(B20="Paid",ABS(F20)&gt;0.15,C20&gt;100),"High Priority Review","Standard")</f>
        <v>Standard</v>
      </c>
    </row>
    <row r="21" customFormat="false" ht="15" hidden="false" customHeight="false" outlineLevel="0" collapsed="false">
      <c r="A21" s="12" t="n">
        <f aca="false">Claims_Data!A21</f>
        <v>100020</v>
      </c>
      <c r="B21" s="12" t="str">
        <f aca="false">Claims_Data!J21</f>
        <v>Paid</v>
      </c>
      <c r="C21" s="13" t="n">
        <f aca="false">Claims_Data!G21</f>
        <v>53.87</v>
      </c>
      <c r="D21" s="13" t="n">
        <f aca="false">Claims_Data!H21</f>
        <v>45.23</v>
      </c>
      <c r="E21" s="13" t="n">
        <f aca="false">INDEX_MATCH_Analysis!H21</f>
        <v>44</v>
      </c>
      <c r="F21" s="17" t="n">
        <f aca="false">INDEX_MATCH_Analysis!J21</f>
        <v>0.0279545454545454</v>
      </c>
      <c r="G21" s="7" t="str">
        <f aca="false">IF(B21="Denied","Denied - RCA Needed",IF(B21="Pending","Pending - No Action",IF(E21=0,"No Rate on File",IF(ABS(F21)&lt;=0.05,"Within Threshold",IF(D21&lt;E21,"Underpaid - Escalate","Overpaid - Review")))))</f>
        <v>Within Threshold</v>
      </c>
      <c r="H21" s="7" t="str">
        <f aca="false">IF(AND(B21="Paid",ABS(F21)&gt;0.15,C21&gt;100),"High Priority Review","Standard")</f>
        <v>Standard</v>
      </c>
    </row>
    <row r="22" customFormat="false" ht="15" hidden="false" customHeight="false" outlineLevel="0" collapsed="false">
      <c r="A22" s="12" t="n">
        <f aca="false">Claims_Data!A22</f>
        <v>100021</v>
      </c>
      <c r="B22" s="12" t="str">
        <f aca="false">Claims_Data!J22</f>
        <v>Paid</v>
      </c>
      <c r="C22" s="13" t="n">
        <f aca="false">Claims_Data!G22</f>
        <v>251.92</v>
      </c>
      <c r="D22" s="13" t="n">
        <f aca="false">Claims_Data!H22</f>
        <v>183.91</v>
      </c>
      <c r="E22" s="13" t="n">
        <f aca="false">INDEX_MATCH_Analysis!H22</f>
        <v>187</v>
      </c>
      <c r="F22" s="17" t="n">
        <f aca="false">INDEX_MATCH_Analysis!J22</f>
        <v>-0.016524064171123</v>
      </c>
      <c r="G22" s="7" t="str">
        <f aca="false">IF(B22="Denied","Denied - RCA Needed",IF(B22="Pending","Pending - No Action",IF(E22=0,"No Rate on File",IF(ABS(F22)&lt;=0.05,"Within Threshold",IF(D22&lt;E22,"Underpaid - Escalate","Overpaid - Review")))))</f>
        <v>Within Threshold</v>
      </c>
      <c r="H22" s="7" t="str">
        <f aca="false">IF(AND(B22="Paid",ABS(F22)&gt;0.15,C22&gt;100),"High Priority Review","Standard")</f>
        <v>Standard</v>
      </c>
    </row>
    <row r="23" customFormat="false" ht="15" hidden="false" customHeight="false" outlineLevel="0" collapsed="false">
      <c r="A23" s="12" t="n">
        <f aca="false">Claims_Data!A23</f>
        <v>100022</v>
      </c>
      <c r="B23" s="12" t="str">
        <f aca="false">Claims_Data!J23</f>
        <v>Paid</v>
      </c>
      <c r="C23" s="13" t="n">
        <f aca="false">Claims_Data!G23</f>
        <v>55.16</v>
      </c>
      <c r="D23" s="13" t="n">
        <f aca="false">Claims_Data!H23</f>
        <v>44.35</v>
      </c>
      <c r="E23" s="13" t="n">
        <f aca="false">INDEX_MATCH_Analysis!H23</f>
        <v>44</v>
      </c>
      <c r="F23" s="17" t="n">
        <f aca="false">INDEX_MATCH_Analysis!J23</f>
        <v>0.00795454545454549</v>
      </c>
      <c r="G23" s="7" t="str">
        <f aca="false">IF(B23="Denied","Denied - RCA Needed",IF(B23="Pending","Pending - No Action",IF(E23=0,"No Rate on File",IF(ABS(F23)&lt;=0.05,"Within Threshold",IF(D23&lt;E23,"Underpaid - Escalate","Overpaid - Review")))))</f>
        <v>Within Threshold</v>
      </c>
      <c r="H23" s="7" t="str">
        <f aca="false">IF(AND(B23="Paid",ABS(F23)&gt;0.15,C23&gt;100),"High Priority Review","Standard")</f>
        <v>Standard</v>
      </c>
    </row>
    <row r="24" customFormat="false" ht="15" hidden="false" customHeight="false" outlineLevel="0" collapsed="false">
      <c r="A24" s="12" t="n">
        <f aca="false">Claims_Data!A24</f>
        <v>100023</v>
      </c>
      <c r="B24" s="12" t="str">
        <f aca="false">Claims_Data!J24</f>
        <v>Paid</v>
      </c>
      <c r="C24" s="13" t="n">
        <f aca="false">Claims_Data!G24</f>
        <v>171.37</v>
      </c>
      <c r="D24" s="13" t="n">
        <f aca="false">Claims_Data!H24</f>
        <v>107.71</v>
      </c>
      <c r="E24" s="13" t="n">
        <f aca="false">INDEX_MATCH_Analysis!H24</f>
        <v>145</v>
      </c>
      <c r="F24" s="17" t="n">
        <f aca="false">INDEX_MATCH_Analysis!J24</f>
        <v>-0.257172413793104</v>
      </c>
      <c r="G24" s="7" t="str">
        <f aca="false">IF(B24="Denied","Denied - RCA Needed",IF(B24="Pending","Pending - No Action",IF(E24=0,"No Rate on File",IF(ABS(F24)&lt;=0.05,"Within Threshold",IF(D24&lt;E24,"Underpaid - Escalate","Overpaid - Review")))))</f>
        <v>Underpaid - Escalate</v>
      </c>
      <c r="H24" s="7" t="str">
        <f aca="false">IF(AND(B24="Paid",ABS(F24)&gt;0.15,C24&gt;100),"High Priority Review","Standard")</f>
        <v>High Priority Review</v>
      </c>
    </row>
    <row r="25" customFormat="false" ht="15" hidden="false" customHeight="false" outlineLevel="0" collapsed="false">
      <c r="A25" s="12" t="n">
        <f aca="false">Claims_Data!A25</f>
        <v>100024</v>
      </c>
      <c r="B25" s="12" t="str">
        <f aca="false">Claims_Data!J25</f>
        <v>Paid</v>
      </c>
      <c r="C25" s="13" t="n">
        <f aca="false">Claims_Data!G25</f>
        <v>21.19</v>
      </c>
      <c r="D25" s="13" t="n">
        <f aca="false">Claims_Data!H25</f>
        <v>13.94</v>
      </c>
      <c r="E25" s="13" t="n">
        <f aca="false">INDEX_MATCH_Analysis!H25</f>
        <v>14</v>
      </c>
      <c r="F25" s="17" t="n">
        <f aca="false">INDEX_MATCH_Analysis!J25</f>
        <v>-0.00428571428571432</v>
      </c>
      <c r="G25" s="7" t="str">
        <f aca="false">IF(B25="Denied","Denied - RCA Needed",IF(B25="Pending","Pending - No Action",IF(E25=0,"No Rate on File",IF(ABS(F25)&lt;=0.05,"Within Threshold",IF(D25&lt;E25,"Underpaid - Escalate","Overpaid - Review")))))</f>
        <v>Within Threshold</v>
      </c>
      <c r="H25" s="7" t="str">
        <f aca="false">IF(AND(B25="Paid",ABS(F25)&gt;0.15,C25&gt;100),"High Priority Review","Standard")</f>
        <v>Standard</v>
      </c>
    </row>
    <row r="26" customFormat="false" ht="15" hidden="false" customHeight="false" outlineLevel="0" collapsed="false">
      <c r="A26" s="12" t="n">
        <f aca="false">Claims_Data!A26</f>
        <v>100025</v>
      </c>
      <c r="B26" s="12" t="str">
        <f aca="false">Claims_Data!J26</f>
        <v>Pending</v>
      </c>
      <c r="C26" s="13" t="n">
        <f aca="false">Claims_Data!G26</f>
        <v>171.46</v>
      </c>
      <c r="D26" s="13" t="n">
        <f aca="false">Claims_Data!H26</f>
        <v>0</v>
      </c>
      <c r="E26" s="13" t="n">
        <f aca="false">INDEX_MATCH_Analysis!H26</f>
        <v>118</v>
      </c>
      <c r="F26" s="17" t="n">
        <f aca="false">INDEX_MATCH_Analysis!J26</f>
        <v>-1</v>
      </c>
      <c r="G26" s="7" t="str">
        <f aca="false">IF(B26="Denied","Denied - RCA Needed",IF(B26="Pending","Pending - No Action",IF(E26=0,"No Rate on File",IF(ABS(F26)&lt;=0.05,"Within Threshold",IF(D26&lt;E26,"Underpaid - Escalate","Overpaid - Review")))))</f>
        <v>Pending - No Action</v>
      </c>
      <c r="H26" s="7" t="str">
        <f aca="false">IF(AND(B26="Paid",ABS(F26)&gt;0.15,C26&gt;100),"High Priority Review","Standard")</f>
        <v>Standard</v>
      </c>
    </row>
    <row r="27" customFormat="false" ht="15" hidden="false" customHeight="false" outlineLevel="0" collapsed="false">
      <c r="A27" s="12" t="n">
        <f aca="false">Claims_Data!A27</f>
        <v>100026</v>
      </c>
      <c r="B27" s="12" t="str">
        <f aca="false">Claims_Data!J27</f>
        <v>Paid</v>
      </c>
      <c r="C27" s="13" t="n">
        <f aca="false">Claims_Data!G27</f>
        <v>282.42</v>
      </c>
      <c r="D27" s="13" t="n">
        <f aca="false">Claims_Data!H27</f>
        <v>187.41</v>
      </c>
      <c r="E27" s="13" t="n">
        <f aca="false">INDEX_MATCH_Analysis!H27</f>
        <v>187</v>
      </c>
      <c r="F27" s="17" t="n">
        <f aca="false">INDEX_MATCH_Analysis!J27</f>
        <v>0.00219251336898394</v>
      </c>
      <c r="G27" s="7" t="str">
        <f aca="false">IF(B27="Denied","Denied - RCA Needed",IF(B27="Pending","Pending - No Action",IF(E27=0,"No Rate on File",IF(ABS(F27)&lt;=0.05,"Within Threshold",IF(D27&lt;E27,"Underpaid - Escalate","Overpaid - Review")))))</f>
        <v>Within Threshold</v>
      </c>
      <c r="H27" s="7" t="str">
        <f aca="false">IF(AND(B27="Paid",ABS(F27)&gt;0.15,C27&gt;100),"High Priority Review","Standard")</f>
        <v>Standard</v>
      </c>
    </row>
    <row r="28" customFormat="false" ht="15" hidden="false" customHeight="false" outlineLevel="0" collapsed="false">
      <c r="A28" s="12" t="n">
        <f aca="false">Claims_Data!A28</f>
        <v>100027</v>
      </c>
      <c r="B28" s="12" t="str">
        <f aca="false">Claims_Data!J28</f>
        <v>Paid</v>
      </c>
      <c r="C28" s="13" t="n">
        <f aca="false">Claims_Data!G28</f>
        <v>160.27</v>
      </c>
      <c r="D28" s="13" t="n">
        <f aca="false">Claims_Data!H28</f>
        <v>120.18</v>
      </c>
      <c r="E28" s="13" t="n">
        <f aca="false">INDEX_MATCH_Analysis!H28</f>
        <v>118</v>
      </c>
      <c r="F28" s="17" t="n">
        <f aca="false">INDEX_MATCH_Analysis!J28</f>
        <v>0.0184745762711865</v>
      </c>
      <c r="G28" s="7" t="str">
        <f aca="false">IF(B28="Denied","Denied - RCA Needed",IF(B28="Pending","Pending - No Action",IF(E28=0,"No Rate on File",IF(ABS(F28)&lt;=0.05,"Within Threshold",IF(D28&lt;E28,"Underpaid - Escalate","Overpaid - Review")))))</f>
        <v>Within Threshold</v>
      </c>
      <c r="H28" s="7" t="str">
        <f aca="false">IF(AND(B28="Paid",ABS(F28)&gt;0.15,C28&gt;100),"High Priority Review","Standard")</f>
        <v>Standard</v>
      </c>
    </row>
    <row r="29" customFormat="false" ht="15" hidden="false" customHeight="false" outlineLevel="0" collapsed="false">
      <c r="A29" s="12" t="n">
        <f aca="false">Claims_Data!A29</f>
        <v>100028</v>
      </c>
      <c r="B29" s="12" t="str">
        <f aca="false">Claims_Data!J29</f>
        <v>Denied</v>
      </c>
      <c r="C29" s="13" t="n">
        <f aca="false">Claims_Data!G29</f>
        <v>187.15</v>
      </c>
      <c r="D29" s="13" t="n">
        <f aca="false">Claims_Data!H29</f>
        <v>0</v>
      </c>
      <c r="E29" s="13" t="n">
        <f aca="false">INDEX_MATCH_Analysis!H29</f>
        <v>118</v>
      </c>
      <c r="F29" s="17" t="n">
        <f aca="false">INDEX_MATCH_Analysis!J29</f>
        <v>-1</v>
      </c>
      <c r="G29" s="7" t="str">
        <f aca="false">IF(B29="Denied","Denied - RCA Needed",IF(B29="Pending","Pending - No Action",IF(E29=0,"No Rate on File",IF(ABS(F29)&lt;=0.05,"Within Threshold",IF(D29&lt;E29,"Underpaid - Escalate","Overpaid - Review")))))</f>
        <v>Denied - RCA Needed</v>
      </c>
      <c r="H29" s="7" t="str">
        <f aca="false">IF(AND(B29="Paid",ABS(F29)&gt;0.15,C29&gt;100),"High Priority Review","Standard")</f>
        <v>Standard</v>
      </c>
    </row>
    <row r="30" customFormat="false" ht="15" hidden="false" customHeight="false" outlineLevel="0" collapsed="false">
      <c r="A30" s="12" t="n">
        <f aca="false">Claims_Data!A30</f>
        <v>100029</v>
      </c>
      <c r="B30" s="12" t="str">
        <f aca="false">Claims_Data!J30</f>
        <v>Paid</v>
      </c>
      <c r="C30" s="13" t="n">
        <f aca="false">Claims_Data!G30</f>
        <v>33.65</v>
      </c>
      <c r="D30" s="13" t="n">
        <f aca="false">Claims_Data!H30</f>
        <v>26.8</v>
      </c>
      <c r="E30" s="13" t="n">
        <f aca="false">INDEX_MATCH_Analysis!H30</f>
        <v>27</v>
      </c>
      <c r="F30" s="17" t="n">
        <f aca="false">INDEX_MATCH_Analysis!J30</f>
        <v>-0.00740740740740738</v>
      </c>
      <c r="G30" s="7" t="str">
        <f aca="false">IF(B30="Denied","Denied - RCA Needed",IF(B30="Pending","Pending - No Action",IF(E30=0,"No Rate on File",IF(ABS(F30)&lt;=0.05,"Within Threshold",IF(D30&lt;E30,"Underpaid - Escalate","Overpaid - Review")))))</f>
        <v>Within Threshold</v>
      </c>
      <c r="H30" s="7" t="str">
        <f aca="false">IF(AND(B30="Paid",ABS(F30)&gt;0.15,C30&gt;100),"High Priority Review","Standard")</f>
        <v>Standard</v>
      </c>
    </row>
    <row r="31" customFormat="false" ht="15" hidden="false" customHeight="false" outlineLevel="0" collapsed="false">
      <c r="A31" s="12" t="n">
        <f aca="false">Claims_Data!A31</f>
        <v>100030</v>
      </c>
      <c r="B31" s="12" t="str">
        <f aca="false">Claims_Data!J31</f>
        <v>Denied</v>
      </c>
      <c r="C31" s="13" t="n">
        <f aca="false">Claims_Data!G31</f>
        <v>308.28</v>
      </c>
      <c r="D31" s="13" t="n">
        <f aca="false">Claims_Data!H31</f>
        <v>0</v>
      </c>
      <c r="E31" s="13" t="n">
        <f aca="false">INDEX_MATCH_Analysis!H31</f>
        <v>230</v>
      </c>
      <c r="F31" s="17" t="n">
        <f aca="false">INDEX_MATCH_Analysis!J31</f>
        <v>-1</v>
      </c>
      <c r="G31" s="7" t="str">
        <f aca="false">IF(B31="Denied","Denied - RCA Needed",IF(B31="Pending","Pending - No Action",IF(E31=0,"No Rate on File",IF(ABS(F31)&lt;=0.05,"Within Threshold",IF(D31&lt;E31,"Underpaid - Escalate","Overpaid - Review")))))</f>
        <v>Denied - RCA Needed</v>
      </c>
      <c r="H31" s="7" t="str">
        <f aca="false">IF(AND(B31="Paid",ABS(F31)&gt;0.15,C31&gt;100),"High Priority Review","Standard")</f>
        <v>Standard</v>
      </c>
    </row>
    <row r="32" customFormat="false" ht="15" hidden="false" customHeight="false" outlineLevel="0" collapsed="false">
      <c r="A32" s="12" t="n">
        <f aca="false">Claims_Data!A32</f>
        <v>100031</v>
      </c>
      <c r="B32" s="12" t="str">
        <f aca="false">Claims_Data!J32</f>
        <v>Paid</v>
      </c>
      <c r="C32" s="13" t="n">
        <f aca="false">Claims_Data!G32</f>
        <v>147.26</v>
      </c>
      <c r="D32" s="13" t="n">
        <f aca="false">Claims_Data!H32</f>
        <v>84.04</v>
      </c>
      <c r="E32" s="13" t="n">
        <f aca="false">INDEX_MATCH_Analysis!H32</f>
        <v>118</v>
      </c>
      <c r="F32" s="17" t="n">
        <f aca="false">INDEX_MATCH_Analysis!J32</f>
        <v>-0.287796610169492</v>
      </c>
      <c r="G32" s="7" t="str">
        <f aca="false">IF(B32="Denied","Denied - RCA Needed",IF(B32="Pending","Pending - No Action",IF(E32=0,"No Rate on File",IF(ABS(F32)&lt;=0.05,"Within Threshold",IF(D32&lt;E32,"Underpaid - Escalate","Overpaid - Review")))))</f>
        <v>Underpaid - Escalate</v>
      </c>
      <c r="H32" s="7" t="str">
        <f aca="false">IF(AND(B32="Paid",ABS(F32)&gt;0.15,C32&gt;100),"High Priority Review","Standard")</f>
        <v>High Priority Review</v>
      </c>
    </row>
    <row r="33" customFormat="false" ht="15" hidden="false" customHeight="false" outlineLevel="0" collapsed="false">
      <c r="A33" s="12" t="n">
        <f aca="false">Claims_Data!A33</f>
        <v>100032</v>
      </c>
      <c r="B33" s="12" t="str">
        <f aca="false">Claims_Data!J33</f>
        <v>Paid</v>
      </c>
      <c r="C33" s="13" t="n">
        <f aca="false">Claims_Data!G33</f>
        <v>65.5</v>
      </c>
      <c r="D33" s="13" t="n">
        <f aca="false">Claims_Data!H33</f>
        <v>46.72</v>
      </c>
      <c r="E33" s="13" t="n">
        <f aca="false">INDEX_MATCH_Analysis!H33</f>
        <v>48</v>
      </c>
      <c r="F33" s="17" t="n">
        <f aca="false">INDEX_MATCH_Analysis!J33</f>
        <v>-0.0266666666666667</v>
      </c>
      <c r="G33" s="7" t="str">
        <f aca="false">IF(B33="Denied","Denied - RCA Needed",IF(B33="Pending","Pending - No Action",IF(E33=0,"No Rate on File",IF(ABS(F33)&lt;=0.05,"Within Threshold",IF(D33&lt;E33,"Underpaid - Escalate","Overpaid - Review")))))</f>
        <v>Within Threshold</v>
      </c>
      <c r="H33" s="7" t="str">
        <f aca="false">IF(AND(B33="Paid",ABS(F33)&gt;0.15,C33&gt;100),"High Priority Review","Standard")</f>
        <v>Standard</v>
      </c>
    </row>
    <row r="34" customFormat="false" ht="15" hidden="false" customHeight="false" outlineLevel="0" collapsed="false">
      <c r="A34" s="12" t="n">
        <f aca="false">Claims_Data!A34</f>
        <v>100033</v>
      </c>
      <c r="B34" s="12" t="str">
        <f aca="false">Claims_Data!J34</f>
        <v>Paid</v>
      </c>
      <c r="C34" s="13" t="n">
        <f aca="false">Claims_Data!G34</f>
        <v>119.09</v>
      </c>
      <c r="D34" s="13" t="n">
        <f aca="false">Claims_Data!H34</f>
        <v>82.08</v>
      </c>
      <c r="E34" s="13" t="n">
        <f aca="false">INDEX_MATCH_Analysis!H34</f>
        <v>84</v>
      </c>
      <c r="F34" s="17" t="n">
        <f aca="false">INDEX_MATCH_Analysis!J34</f>
        <v>-0.0228571428571429</v>
      </c>
      <c r="G34" s="7" t="str">
        <f aca="false">IF(B34="Denied","Denied - RCA Needed",IF(B34="Pending","Pending - No Action",IF(E34=0,"No Rate on File",IF(ABS(F34)&lt;=0.05,"Within Threshold",IF(D34&lt;E34,"Underpaid - Escalate","Overpaid - Review")))))</f>
        <v>Within Threshold</v>
      </c>
      <c r="H34" s="7" t="str">
        <f aca="false">IF(AND(B34="Paid",ABS(F34)&gt;0.15,C34&gt;100),"High Priority Review","Standard")</f>
        <v>Standard</v>
      </c>
    </row>
    <row r="35" customFormat="false" ht="15" hidden="false" customHeight="false" outlineLevel="0" collapsed="false">
      <c r="A35" s="12" t="n">
        <f aca="false">Claims_Data!A35</f>
        <v>100034</v>
      </c>
      <c r="B35" s="12" t="str">
        <f aca="false">Claims_Data!J35</f>
        <v>Paid</v>
      </c>
      <c r="C35" s="13" t="n">
        <f aca="false">Claims_Data!G35</f>
        <v>220.88</v>
      </c>
      <c r="D35" s="13" t="n">
        <f aca="false">Claims_Data!H35</f>
        <v>169.3</v>
      </c>
      <c r="E35" s="13" t="n">
        <f aca="false">INDEX_MATCH_Analysis!H35</f>
        <v>165</v>
      </c>
      <c r="F35" s="17" t="n">
        <f aca="false">INDEX_MATCH_Analysis!J35</f>
        <v>0.0260606060606061</v>
      </c>
      <c r="G35" s="7" t="str">
        <f aca="false">IF(B35="Denied","Denied - RCA Needed",IF(B35="Pending","Pending - No Action",IF(E35=0,"No Rate on File",IF(ABS(F35)&lt;=0.05,"Within Threshold",IF(D35&lt;E35,"Underpaid - Escalate","Overpaid - Review")))))</f>
        <v>Within Threshold</v>
      </c>
      <c r="H35" s="7" t="str">
        <f aca="false">IF(AND(B35="Paid",ABS(F35)&gt;0.15,C35&gt;100),"High Priority Review","Standard")</f>
        <v>Standard</v>
      </c>
    </row>
    <row r="36" customFormat="false" ht="15" hidden="false" customHeight="false" outlineLevel="0" collapsed="false">
      <c r="A36" s="12" t="n">
        <f aca="false">Claims_Data!A36</f>
        <v>100035</v>
      </c>
      <c r="B36" s="12" t="str">
        <f aca="false">Claims_Data!J36</f>
        <v>Paid</v>
      </c>
      <c r="C36" s="13" t="n">
        <f aca="false">Claims_Data!G36</f>
        <v>156.72</v>
      </c>
      <c r="D36" s="13" t="n">
        <f aca="false">Claims_Data!H36</f>
        <v>116.7</v>
      </c>
      <c r="E36" s="13" t="n">
        <f aca="false">INDEX_MATCH_Analysis!H36</f>
        <v>118</v>
      </c>
      <c r="F36" s="17" t="n">
        <f aca="false">INDEX_MATCH_Analysis!J36</f>
        <v>-0.0110169491525423</v>
      </c>
      <c r="G36" s="7" t="str">
        <f aca="false">IF(B36="Denied","Denied - RCA Needed",IF(B36="Pending","Pending - No Action",IF(E36=0,"No Rate on File",IF(ABS(F36)&lt;=0.05,"Within Threshold",IF(D36&lt;E36,"Underpaid - Escalate","Overpaid - Review")))))</f>
        <v>Within Threshold</v>
      </c>
      <c r="H36" s="7" t="str">
        <f aca="false">IF(AND(B36="Paid",ABS(F36)&gt;0.15,C36&gt;100),"High Priority Review","Standard")</f>
        <v>Standard</v>
      </c>
    </row>
    <row r="37" customFormat="false" ht="15" hidden="false" customHeight="false" outlineLevel="0" collapsed="false">
      <c r="A37" s="12" t="n">
        <f aca="false">Claims_Data!A37</f>
        <v>100036</v>
      </c>
      <c r="B37" s="12" t="str">
        <f aca="false">Claims_Data!J37</f>
        <v>Pending</v>
      </c>
      <c r="C37" s="13" t="n">
        <f aca="false">Claims_Data!G37</f>
        <v>99.16</v>
      </c>
      <c r="D37" s="13" t="n">
        <f aca="false">Claims_Data!H37</f>
        <v>0</v>
      </c>
      <c r="E37" s="13" t="n">
        <f aca="false">INDEX_MATCH_Analysis!H37</f>
        <v>62</v>
      </c>
      <c r="F37" s="17" t="n">
        <f aca="false">INDEX_MATCH_Analysis!J37</f>
        <v>-1</v>
      </c>
      <c r="G37" s="7" t="str">
        <f aca="false">IF(B37="Denied","Denied - RCA Needed",IF(B37="Pending","Pending - No Action",IF(E37=0,"No Rate on File",IF(ABS(F37)&lt;=0.05,"Within Threshold",IF(D37&lt;E37,"Underpaid - Escalate","Overpaid - Review")))))</f>
        <v>Pending - No Action</v>
      </c>
      <c r="H37" s="7" t="str">
        <f aca="false">IF(AND(B37="Paid",ABS(F37)&gt;0.15,C37&gt;100),"High Priority Review","Standard")</f>
        <v>Standard</v>
      </c>
    </row>
    <row r="38" customFormat="false" ht="15" hidden="false" customHeight="false" outlineLevel="0" collapsed="false">
      <c r="A38" s="12" t="n">
        <f aca="false">Claims_Data!A38</f>
        <v>100037</v>
      </c>
      <c r="B38" s="12" t="str">
        <f aca="false">Claims_Data!J38</f>
        <v>Paid</v>
      </c>
      <c r="C38" s="13" t="n">
        <f aca="false">Claims_Data!G38</f>
        <v>278.21</v>
      </c>
      <c r="D38" s="13" t="n">
        <f aca="false">Claims_Data!H38</f>
        <v>226.47</v>
      </c>
      <c r="E38" s="13" t="n">
        <f aca="false">INDEX_MATCH_Analysis!H38</f>
        <v>230</v>
      </c>
      <c r="F38" s="17" t="n">
        <f aca="false">INDEX_MATCH_Analysis!J38</f>
        <v>-0.0153478260869565</v>
      </c>
      <c r="G38" s="7" t="str">
        <f aca="false">IF(B38="Denied","Denied - RCA Needed",IF(B38="Pending","Pending - No Action",IF(E38=0,"No Rate on File",IF(ABS(F38)&lt;=0.05,"Within Threshold",IF(D38&lt;E38,"Underpaid - Escalate","Overpaid - Review")))))</f>
        <v>Within Threshold</v>
      </c>
      <c r="H38" s="7" t="str">
        <f aca="false">IF(AND(B38="Paid",ABS(F38)&gt;0.15,C38&gt;100),"High Priority Review","Standard")</f>
        <v>Standard</v>
      </c>
    </row>
    <row r="39" customFormat="false" ht="15" hidden="false" customHeight="false" outlineLevel="0" collapsed="false">
      <c r="A39" s="12" t="n">
        <f aca="false">Claims_Data!A39</f>
        <v>100038</v>
      </c>
      <c r="B39" s="12" t="str">
        <f aca="false">Claims_Data!J39</f>
        <v>Paid</v>
      </c>
      <c r="C39" s="13" t="n">
        <f aca="false">Claims_Data!G39</f>
        <v>64.53</v>
      </c>
      <c r="D39" s="13" t="n">
        <f aca="false">Claims_Data!H39</f>
        <v>50.52</v>
      </c>
      <c r="E39" s="13" t="n">
        <f aca="false">INDEX_MATCH_Analysis!H39</f>
        <v>44</v>
      </c>
      <c r="F39" s="17" t="n">
        <f aca="false">INDEX_MATCH_Analysis!J39</f>
        <v>0.148181818181818</v>
      </c>
      <c r="G39" s="7" t="str">
        <f aca="false">IF(B39="Denied","Denied - RCA Needed",IF(B39="Pending","Pending - No Action",IF(E39=0,"No Rate on File",IF(ABS(F39)&lt;=0.05,"Within Threshold",IF(D39&lt;E39,"Underpaid - Escalate","Overpaid - Review")))))</f>
        <v>Overpaid - Review</v>
      </c>
      <c r="H39" s="7" t="str">
        <f aca="false">IF(AND(B39="Paid",ABS(F39)&gt;0.15,C39&gt;100),"High Priority Review","Standard")</f>
        <v>Standard</v>
      </c>
    </row>
    <row r="40" customFormat="false" ht="15" hidden="false" customHeight="false" outlineLevel="0" collapsed="false">
      <c r="A40" s="12" t="n">
        <f aca="false">Claims_Data!A40</f>
        <v>100039</v>
      </c>
      <c r="B40" s="12" t="str">
        <f aca="false">Claims_Data!J40</f>
        <v>Paid</v>
      </c>
      <c r="C40" s="13" t="n">
        <f aca="false">Claims_Data!G40</f>
        <v>232.23</v>
      </c>
      <c r="D40" s="13" t="n">
        <f aca="false">Claims_Data!H40</f>
        <v>133.79</v>
      </c>
      <c r="E40" s="13" t="n">
        <f aca="false">INDEX_MATCH_Analysis!H40</f>
        <v>183</v>
      </c>
      <c r="F40" s="17" t="n">
        <f aca="false">INDEX_MATCH_Analysis!J40</f>
        <v>-0.268907103825137</v>
      </c>
      <c r="G40" s="7" t="str">
        <f aca="false">IF(B40="Denied","Denied - RCA Needed",IF(B40="Pending","Pending - No Action",IF(E40=0,"No Rate on File",IF(ABS(F40)&lt;=0.05,"Within Threshold",IF(D40&lt;E40,"Underpaid - Escalate","Overpaid - Review")))))</f>
        <v>Underpaid - Escalate</v>
      </c>
      <c r="H40" s="7" t="str">
        <f aca="false">IF(AND(B40="Paid",ABS(F40)&gt;0.15,C40&gt;100),"High Priority Review","Standard")</f>
        <v>High Priority Review</v>
      </c>
    </row>
    <row r="41" customFormat="false" ht="15" hidden="false" customHeight="false" outlineLevel="0" collapsed="false">
      <c r="A41" s="12" t="n">
        <f aca="false">Claims_Data!A41</f>
        <v>100040</v>
      </c>
      <c r="B41" s="12" t="str">
        <f aca="false">Claims_Data!J41</f>
        <v>Paid</v>
      </c>
      <c r="C41" s="13" t="n">
        <f aca="false">Claims_Data!G41</f>
        <v>175.12</v>
      </c>
      <c r="D41" s="13" t="n">
        <f aca="false">Claims_Data!H41</f>
        <v>118.21</v>
      </c>
      <c r="E41" s="13" t="n">
        <f aca="false">INDEX_MATCH_Analysis!H41</f>
        <v>120</v>
      </c>
      <c r="F41" s="17" t="n">
        <f aca="false">INDEX_MATCH_Analysis!J41</f>
        <v>-0.0149166666666667</v>
      </c>
      <c r="G41" s="7" t="str">
        <f aca="false">IF(B41="Denied","Denied - RCA Needed",IF(B41="Pending","Pending - No Action",IF(E41=0,"No Rate on File",IF(ABS(F41)&lt;=0.05,"Within Threshold",IF(D41&lt;E41,"Underpaid - Escalate","Overpaid - Review")))))</f>
        <v>Within Threshold</v>
      </c>
      <c r="H41" s="7" t="str">
        <f aca="false">IF(AND(B41="Paid",ABS(F41)&gt;0.15,C41&gt;100),"High Priority Review","Standard")</f>
        <v>Standard</v>
      </c>
    </row>
    <row r="42" customFormat="false" ht="15" hidden="false" customHeight="false" outlineLevel="0" collapsed="false">
      <c r="A42" s="12" t="n">
        <f aca="false">Claims_Data!A42</f>
        <v>100041</v>
      </c>
      <c r="B42" s="12" t="str">
        <f aca="false">Claims_Data!J42</f>
        <v>Paid</v>
      </c>
      <c r="C42" s="13" t="n">
        <f aca="false">Claims_Data!G42</f>
        <v>269.06</v>
      </c>
      <c r="D42" s="13" t="n">
        <f aca="false">Claims_Data!H42</f>
        <v>236.62</v>
      </c>
      <c r="E42" s="13" t="n">
        <f aca="false">INDEX_MATCH_Analysis!H42</f>
        <v>230</v>
      </c>
      <c r="F42" s="17" t="n">
        <f aca="false">INDEX_MATCH_Analysis!J42</f>
        <v>0.0287826086956522</v>
      </c>
      <c r="G42" s="7" t="str">
        <f aca="false">IF(B42="Denied","Denied - RCA Needed",IF(B42="Pending","Pending - No Action",IF(E42=0,"No Rate on File",IF(ABS(F42)&lt;=0.05,"Within Threshold",IF(D42&lt;E42,"Underpaid - Escalate","Overpaid - Review")))))</f>
        <v>Within Threshold</v>
      </c>
      <c r="H42" s="7" t="str">
        <f aca="false">IF(AND(B42="Paid",ABS(F42)&gt;0.15,C42&gt;100),"High Priority Review","Standard")</f>
        <v>Standard</v>
      </c>
    </row>
    <row r="43" customFormat="false" ht="15" hidden="false" customHeight="false" outlineLevel="0" collapsed="false">
      <c r="A43" s="12" t="n">
        <f aca="false">Claims_Data!A43</f>
        <v>100042</v>
      </c>
      <c r="B43" s="12" t="str">
        <f aca="false">Claims_Data!J43</f>
        <v>Paid</v>
      </c>
      <c r="C43" s="13" t="n">
        <f aca="false">Claims_Data!G43</f>
        <v>22.44</v>
      </c>
      <c r="D43" s="13" t="n">
        <f aca="false">Claims_Data!H43</f>
        <v>18.46</v>
      </c>
      <c r="E43" s="13" t="n">
        <f aca="false">INDEX_MATCH_Analysis!H43</f>
        <v>16</v>
      </c>
      <c r="F43" s="17" t="n">
        <f aca="false">INDEX_MATCH_Analysis!J43</f>
        <v>0.15375</v>
      </c>
      <c r="G43" s="7" t="str">
        <f aca="false">IF(B43="Denied","Denied - RCA Needed",IF(B43="Pending","Pending - No Action",IF(E43=0,"No Rate on File",IF(ABS(F43)&lt;=0.05,"Within Threshold",IF(D43&lt;E43,"Underpaid - Escalate","Overpaid - Review")))))</f>
        <v>Overpaid - Review</v>
      </c>
      <c r="H43" s="7" t="str">
        <f aca="false">IF(AND(B43="Paid",ABS(F43)&gt;0.15,C43&gt;100),"High Priority Review","Standard")</f>
        <v>Standard</v>
      </c>
    </row>
    <row r="44" customFormat="false" ht="15" hidden="false" customHeight="false" outlineLevel="0" collapsed="false">
      <c r="A44" s="12" t="n">
        <f aca="false">Claims_Data!A44</f>
        <v>100043</v>
      </c>
      <c r="B44" s="12" t="str">
        <f aca="false">Claims_Data!J44</f>
        <v>Paid</v>
      </c>
      <c r="C44" s="13" t="n">
        <f aca="false">Claims_Data!G44</f>
        <v>71.33</v>
      </c>
      <c r="D44" s="13" t="n">
        <f aca="false">Claims_Data!H44</f>
        <v>50.59</v>
      </c>
      <c r="E44" s="13" t="n">
        <f aca="false">INDEX_MATCH_Analysis!H44</f>
        <v>51</v>
      </c>
      <c r="F44" s="17" t="n">
        <f aca="false">INDEX_MATCH_Analysis!J44</f>
        <v>-0.00803921568627444</v>
      </c>
      <c r="G44" s="7" t="str">
        <f aca="false">IF(B44="Denied","Denied - RCA Needed",IF(B44="Pending","Pending - No Action",IF(E44=0,"No Rate on File",IF(ABS(F44)&lt;=0.05,"Within Threshold",IF(D44&lt;E44,"Underpaid - Escalate","Overpaid - Review")))))</f>
        <v>Within Threshold</v>
      </c>
      <c r="H44" s="7" t="str">
        <f aca="false">IF(AND(B44="Paid",ABS(F44)&gt;0.15,C44&gt;100),"High Priority Review","Standard")</f>
        <v>Standard</v>
      </c>
    </row>
    <row r="45" customFormat="false" ht="15" hidden="false" customHeight="false" outlineLevel="0" collapsed="false">
      <c r="A45" s="12" t="n">
        <f aca="false">Claims_Data!A45</f>
        <v>100044</v>
      </c>
      <c r="B45" s="12" t="str">
        <f aca="false">Claims_Data!J45</f>
        <v>Paid</v>
      </c>
      <c r="C45" s="13" t="n">
        <f aca="false">Claims_Data!G45</f>
        <v>107.31</v>
      </c>
      <c r="D45" s="13" t="n">
        <f aca="false">Claims_Data!H45</f>
        <v>75.66</v>
      </c>
      <c r="E45" s="13" t="n">
        <f aca="false">INDEX_MATCH_Analysis!H45</f>
        <v>74</v>
      </c>
      <c r="F45" s="17" t="n">
        <f aca="false">INDEX_MATCH_Analysis!J45</f>
        <v>0.0224324324324324</v>
      </c>
      <c r="G45" s="7" t="str">
        <f aca="false">IF(B45="Denied","Denied - RCA Needed",IF(B45="Pending","Pending - No Action",IF(E45=0,"No Rate on File",IF(ABS(F45)&lt;=0.05,"Within Threshold",IF(D45&lt;E45,"Underpaid - Escalate","Overpaid - Review")))))</f>
        <v>Within Threshold</v>
      </c>
      <c r="H45" s="7" t="str">
        <f aca="false">IF(AND(B45="Paid",ABS(F45)&gt;0.15,C45&gt;100),"High Priority Review","Standard")</f>
        <v>Standard</v>
      </c>
    </row>
    <row r="46" customFormat="false" ht="15" hidden="false" customHeight="false" outlineLevel="0" collapsed="false">
      <c r="A46" s="12" t="n">
        <f aca="false">Claims_Data!A46</f>
        <v>100045</v>
      </c>
      <c r="B46" s="12" t="str">
        <f aca="false">Claims_Data!J46</f>
        <v>Paid</v>
      </c>
      <c r="C46" s="13" t="n">
        <f aca="false">Claims_Data!G46</f>
        <v>187.14</v>
      </c>
      <c r="D46" s="13" t="n">
        <f aca="false">Claims_Data!H46</f>
        <v>92.74</v>
      </c>
      <c r="E46" s="13" t="n">
        <f aca="false">INDEX_MATCH_Analysis!H46</f>
        <v>121</v>
      </c>
      <c r="F46" s="17" t="n">
        <f aca="false">INDEX_MATCH_Analysis!J46</f>
        <v>-0.233553719008265</v>
      </c>
      <c r="G46" s="7" t="str">
        <f aca="false">IF(B46="Denied","Denied - RCA Needed",IF(B46="Pending","Pending - No Action",IF(E46=0,"No Rate on File",IF(ABS(F46)&lt;=0.05,"Within Threshold",IF(D46&lt;E46,"Underpaid - Escalate","Overpaid - Review")))))</f>
        <v>Underpaid - Escalate</v>
      </c>
      <c r="H46" s="7" t="str">
        <f aca="false">IF(AND(B46="Paid",ABS(F46)&gt;0.15,C46&gt;100),"High Priority Review","Standard")</f>
        <v>High Priority Review</v>
      </c>
    </row>
    <row r="47" customFormat="false" ht="15" hidden="false" customHeight="false" outlineLevel="0" collapsed="false">
      <c r="A47" s="12" t="n">
        <f aca="false">Claims_Data!A47</f>
        <v>100046</v>
      </c>
      <c r="B47" s="12" t="str">
        <f aca="false">Claims_Data!J47</f>
        <v>Paid</v>
      </c>
      <c r="C47" s="13" t="n">
        <f aca="false">Claims_Data!G47</f>
        <v>294.85</v>
      </c>
      <c r="D47" s="13" t="n">
        <f aca="false">Claims_Data!H47</f>
        <v>231.04</v>
      </c>
      <c r="E47" s="13" t="n">
        <f aca="false">INDEX_MATCH_Analysis!H47</f>
        <v>196</v>
      </c>
      <c r="F47" s="17" t="n">
        <f aca="false">INDEX_MATCH_Analysis!J47</f>
        <v>0.178775510204082</v>
      </c>
      <c r="G47" s="7" t="str">
        <f aca="false">IF(B47="Denied","Denied - RCA Needed",IF(B47="Pending","Pending - No Action",IF(E47=0,"No Rate on File",IF(ABS(F47)&lt;=0.05,"Within Threshold",IF(D47&lt;E47,"Underpaid - Escalate","Overpaid - Review")))))</f>
        <v>Overpaid - Review</v>
      </c>
      <c r="H47" s="7" t="str">
        <f aca="false">IF(AND(B47="Paid",ABS(F47)&gt;0.15,C47&gt;100),"High Priority Review","Standard")</f>
        <v>High Priority Review</v>
      </c>
    </row>
    <row r="48" customFormat="false" ht="15" hidden="false" customHeight="false" outlineLevel="0" collapsed="false">
      <c r="A48" s="12" t="n">
        <f aca="false">Claims_Data!A48</f>
        <v>100047</v>
      </c>
      <c r="B48" s="12" t="str">
        <f aca="false">Claims_Data!J48</f>
        <v>Paid</v>
      </c>
      <c r="C48" s="13" t="n">
        <f aca="false">Claims_Data!G48</f>
        <v>240.73</v>
      </c>
      <c r="D48" s="13" t="n">
        <f aca="false">Claims_Data!H48</f>
        <v>181.66</v>
      </c>
      <c r="E48" s="13" t="n">
        <f aca="false">INDEX_MATCH_Analysis!H48</f>
        <v>187</v>
      </c>
      <c r="F48" s="17" t="n">
        <f aca="false">INDEX_MATCH_Analysis!J48</f>
        <v>-0.0285561497326203</v>
      </c>
      <c r="G48" s="7" t="str">
        <f aca="false">IF(B48="Denied","Denied - RCA Needed",IF(B48="Pending","Pending - No Action",IF(E48=0,"No Rate on File",IF(ABS(F48)&lt;=0.05,"Within Threshold",IF(D48&lt;E48,"Underpaid - Escalate","Overpaid - Review")))))</f>
        <v>Within Threshold</v>
      </c>
      <c r="H48" s="7" t="str">
        <f aca="false">IF(AND(B48="Paid",ABS(F48)&gt;0.15,C48&gt;100),"High Priority Review","Standard")</f>
        <v>Standard</v>
      </c>
    </row>
    <row r="49" customFormat="false" ht="15" hidden="false" customHeight="false" outlineLevel="0" collapsed="false">
      <c r="A49" s="12" t="n">
        <f aca="false">Claims_Data!A49</f>
        <v>100048</v>
      </c>
      <c r="B49" s="12" t="str">
        <f aca="false">Claims_Data!J49</f>
        <v>Denied</v>
      </c>
      <c r="C49" s="13" t="n">
        <f aca="false">Claims_Data!G49</f>
        <v>293.94</v>
      </c>
      <c r="D49" s="13" t="n">
        <f aca="false">Claims_Data!H49</f>
        <v>0</v>
      </c>
      <c r="E49" s="13" t="n">
        <f aca="false">INDEX_MATCH_Analysis!H49</f>
        <v>191</v>
      </c>
      <c r="F49" s="17" t="n">
        <f aca="false">INDEX_MATCH_Analysis!J49</f>
        <v>-1</v>
      </c>
      <c r="G49" s="7" t="str">
        <f aca="false">IF(B49="Denied","Denied - RCA Needed",IF(B49="Pending","Pending - No Action",IF(E49=0,"No Rate on File",IF(ABS(F49)&lt;=0.05,"Within Threshold",IF(D49&lt;E49,"Underpaid - Escalate","Overpaid - Review")))))</f>
        <v>Denied - RCA Needed</v>
      </c>
      <c r="H49" s="7" t="str">
        <f aca="false">IF(AND(B49="Paid",ABS(F49)&gt;0.15,C49&gt;100),"High Priority Review","Standard")</f>
        <v>Standard</v>
      </c>
    </row>
    <row r="50" customFormat="false" ht="15" hidden="false" customHeight="false" outlineLevel="0" collapsed="false">
      <c r="A50" s="12" t="n">
        <f aca="false">Claims_Data!A50</f>
        <v>100049</v>
      </c>
      <c r="B50" s="12" t="str">
        <f aca="false">Claims_Data!J50</f>
        <v>Paid</v>
      </c>
      <c r="C50" s="13" t="n">
        <f aca="false">Claims_Data!G50</f>
        <v>294.09</v>
      </c>
      <c r="D50" s="13" t="n">
        <f aca="false">Claims_Data!H50</f>
        <v>201.36</v>
      </c>
      <c r="E50" s="13" t="n">
        <f aca="false">INDEX_MATCH_Analysis!H50</f>
        <v>187</v>
      </c>
      <c r="F50" s="17" t="n">
        <f aca="false">INDEX_MATCH_Analysis!J50</f>
        <v>0.0767914438502675</v>
      </c>
      <c r="G50" s="7" t="str">
        <f aca="false">IF(B50="Denied","Denied - RCA Needed",IF(B50="Pending","Pending - No Action",IF(E50=0,"No Rate on File",IF(ABS(F50)&lt;=0.05,"Within Threshold",IF(D50&lt;E50,"Underpaid - Escalate","Overpaid - Review")))))</f>
        <v>Overpaid - Review</v>
      </c>
      <c r="H50" s="7" t="str">
        <f aca="false">IF(AND(B50="Paid",ABS(F50)&gt;0.15,C50&gt;100),"High Priority Review","Standard")</f>
        <v>Standard</v>
      </c>
    </row>
    <row r="51" customFormat="false" ht="15" hidden="false" customHeight="false" outlineLevel="0" collapsed="false">
      <c r="A51" s="12" t="n">
        <f aca="false">Claims_Data!A51</f>
        <v>100050</v>
      </c>
      <c r="B51" s="12" t="str">
        <f aca="false">Claims_Data!J51</f>
        <v>Paid</v>
      </c>
      <c r="C51" s="13" t="n">
        <f aca="false">Claims_Data!G51</f>
        <v>64.59</v>
      </c>
      <c r="D51" s="13" t="n">
        <f aca="false">Claims_Data!H51</f>
        <v>48.31</v>
      </c>
      <c r="E51" s="13" t="n">
        <f aca="false">INDEX_MATCH_Analysis!H51</f>
        <v>48</v>
      </c>
      <c r="F51" s="17" t="n">
        <f aca="false">INDEX_MATCH_Analysis!J51</f>
        <v>0.00645833333333338</v>
      </c>
      <c r="G51" s="7" t="str">
        <f aca="false">IF(B51="Denied","Denied - RCA Needed",IF(B51="Pending","Pending - No Action",IF(E51=0,"No Rate on File",IF(ABS(F51)&lt;=0.05,"Within Threshold",IF(D51&lt;E51,"Underpaid - Escalate","Overpaid - Review")))))</f>
        <v>Within Threshold</v>
      </c>
      <c r="H51" s="7" t="str">
        <f aca="false">IF(AND(B51="Paid",ABS(F51)&gt;0.15,C51&gt;100),"High Priority Review","Standard")</f>
        <v>Standard</v>
      </c>
    </row>
    <row r="52" customFormat="false" ht="15" hidden="false" customHeight="false" outlineLevel="0" collapsed="false">
      <c r="A52" s="12" t="n">
        <f aca="false">Claims_Data!A52</f>
        <v>100051</v>
      </c>
      <c r="B52" s="12" t="str">
        <f aca="false">Claims_Data!J52</f>
        <v>Paid</v>
      </c>
      <c r="C52" s="13" t="n">
        <f aca="false">Claims_Data!G52</f>
        <v>76.6</v>
      </c>
      <c r="D52" s="13" t="n">
        <f aca="false">Claims_Data!H52</f>
        <v>62.07</v>
      </c>
      <c r="E52" s="13" t="n">
        <f aca="false">INDEX_MATCH_Analysis!H52</f>
        <v>62</v>
      </c>
      <c r="F52" s="17" t="n">
        <f aca="false">INDEX_MATCH_Analysis!J52</f>
        <v>0.00112903225806452</v>
      </c>
      <c r="G52" s="7" t="str">
        <f aca="false">IF(B52="Denied","Denied - RCA Needed",IF(B52="Pending","Pending - No Action",IF(E52=0,"No Rate on File",IF(ABS(F52)&lt;=0.05,"Within Threshold",IF(D52&lt;E52,"Underpaid - Escalate","Overpaid - Review")))))</f>
        <v>Within Threshold</v>
      </c>
      <c r="H52" s="7" t="str">
        <f aca="false">IF(AND(B52="Paid",ABS(F52)&gt;0.15,C52&gt;100),"High Priority Review","Standard")</f>
        <v>Standard</v>
      </c>
    </row>
    <row r="53" customFormat="false" ht="15" hidden="false" customHeight="false" outlineLevel="0" collapsed="false">
      <c r="A53" s="12" t="n">
        <f aca="false">Claims_Data!A53</f>
        <v>100052</v>
      </c>
      <c r="B53" s="12" t="str">
        <f aca="false">Claims_Data!J53</f>
        <v>Paid</v>
      </c>
      <c r="C53" s="13" t="n">
        <f aca="false">Claims_Data!G53</f>
        <v>260.2</v>
      </c>
      <c r="D53" s="13" t="n">
        <f aca="false">Claims_Data!H53</f>
        <v>166.62</v>
      </c>
      <c r="E53" s="13" t="n">
        <f aca="false">INDEX_MATCH_Analysis!H53</f>
        <v>165</v>
      </c>
      <c r="F53" s="17" t="n">
        <f aca="false">INDEX_MATCH_Analysis!J53</f>
        <v>0.00981818181818185</v>
      </c>
      <c r="G53" s="7" t="str">
        <f aca="false">IF(B53="Denied","Denied - RCA Needed",IF(B53="Pending","Pending - No Action",IF(E53=0,"No Rate on File",IF(ABS(F53)&lt;=0.05,"Within Threshold",IF(D53&lt;E53,"Underpaid - Escalate","Overpaid - Review")))))</f>
        <v>Within Threshold</v>
      </c>
      <c r="H53" s="7" t="str">
        <f aca="false">IF(AND(B53="Paid",ABS(F53)&gt;0.15,C53&gt;100),"High Priority Review","Standard")</f>
        <v>Standard</v>
      </c>
    </row>
    <row r="54" customFormat="false" ht="15" hidden="false" customHeight="false" outlineLevel="0" collapsed="false">
      <c r="A54" s="12" t="n">
        <f aca="false">Claims_Data!A54</f>
        <v>100053</v>
      </c>
      <c r="B54" s="12" t="str">
        <f aca="false">Claims_Data!J54</f>
        <v>Paid</v>
      </c>
      <c r="C54" s="13" t="n">
        <f aca="false">Claims_Data!G54</f>
        <v>333.52</v>
      </c>
      <c r="D54" s="13" t="n">
        <f aca="false">Claims_Data!H54</f>
        <v>186.5</v>
      </c>
      <c r="E54" s="13" t="n">
        <f aca="false">INDEX_MATCH_Analysis!H54</f>
        <v>230</v>
      </c>
      <c r="F54" s="17" t="n">
        <f aca="false">INDEX_MATCH_Analysis!J54</f>
        <v>-0.189130434782609</v>
      </c>
      <c r="G54" s="7" t="str">
        <f aca="false">IF(B54="Denied","Denied - RCA Needed",IF(B54="Pending","Pending - No Action",IF(E54=0,"No Rate on File",IF(ABS(F54)&lt;=0.05,"Within Threshold",IF(D54&lt;E54,"Underpaid - Escalate","Overpaid - Review")))))</f>
        <v>Underpaid - Escalate</v>
      </c>
      <c r="H54" s="7" t="str">
        <f aca="false">IF(AND(B54="Paid",ABS(F54)&gt;0.15,C54&gt;100),"High Priority Review","Standard")</f>
        <v>High Priority Review</v>
      </c>
    </row>
    <row r="55" customFormat="false" ht="15" hidden="false" customHeight="false" outlineLevel="0" collapsed="false">
      <c r="A55" s="12" t="n">
        <f aca="false">Claims_Data!A55</f>
        <v>100054</v>
      </c>
      <c r="B55" s="12" t="str">
        <f aca="false">Claims_Data!J55</f>
        <v>Paid</v>
      </c>
      <c r="C55" s="13" t="n">
        <f aca="false">Claims_Data!G55</f>
        <v>336.77</v>
      </c>
      <c r="D55" s="13" t="n">
        <f aca="false">Claims_Data!H55</f>
        <v>228.93</v>
      </c>
      <c r="E55" s="13" t="n">
        <f aca="false">INDEX_MATCH_Analysis!H55</f>
        <v>236</v>
      </c>
      <c r="F55" s="17" t="n">
        <f aca="false">INDEX_MATCH_Analysis!J55</f>
        <v>-0.029957627118644</v>
      </c>
      <c r="G55" s="7" t="str">
        <f aca="false">IF(B55="Denied","Denied - RCA Needed",IF(B55="Pending","Pending - No Action",IF(E55=0,"No Rate on File",IF(ABS(F55)&lt;=0.05,"Within Threshold",IF(D55&lt;E55,"Underpaid - Escalate","Overpaid - Review")))))</f>
        <v>Within Threshold</v>
      </c>
      <c r="H55" s="7" t="str">
        <f aca="false">IF(AND(B55="Paid",ABS(F55)&gt;0.15,C55&gt;100),"High Priority Review","Standard")</f>
        <v>Standard</v>
      </c>
    </row>
    <row r="56" customFormat="false" ht="15" hidden="false" customHeight="false" outlineLevel="0" collapsed="false">
      <c r="A56" s="12" t="n">
        <f aca="false">Claims_Data!A56</f>
        <v>100055</v>
      </c>
      <c r="B56" s="12" t="str">
        <f aca="false">Claims_Data!J56</f>
        <v>Paid</v>
      </c>
      <c r="C56" s="13" t="n">
        <f aca="false">Claims_Data!G56</f>
        <v>88.23</v>
      </c>
      <c r="D56" s="13" t="n">
        <f aca="false">Claims_Data!H56</f>
        <v>62.65</v>
      </c>
      <c r="E56" s="13" t="n">
        <f aca="false">INDEX_MATCH_Analysis!H56</f>
        <v>62</v>
      </c>
      <c r="F56" s="17" t="n">
        <f aca="false">INDEX_MATCH_Analysis!J56</f>
        <v>0.0104838709677419</v>
      </c>
      <c r="G56" s="7" t="str">
        <f aca="false">IF(B56="Denied","Denied - RCA Needed",IF(B56="Pending","Pending - No Action",IF(E56=0,"No Rate on File",IF(ABS(F56)&lt;=0.05,"Within Threshold",IF(D56&lt;E56,"Underpaid - Escalate","Overpaid - Review")))))</f>
        <v>Within Threshold</v>
      </c>
      <c r="H56" s="7" t="str">
        <f aca="false">IF(AND(B56="Paid",ABS(F56)&gt;0.15,C56&gt;100),"High Priority Review","Standard")</f>
        <v>Standard</v>
      </c>
    </row>
    <row r="57" customFormat="false" ht="15" hidden="false" customHeight="false" outlineLevel="0" collapsed="false">
      <c r="A57" s="12" t="n">
        <f aca="false">Claims_Data!A57</f>
        <v>100056</v>
      </c>
      <c r="B57" s="12" t="str">
        <f aca="false">Claims_Data!J57</f>
        <v>Paid</v>
      </c>
      <c r="C57" s="13" t="n">
        <f aca="false">Claims_Data!G57</f>
        <v>107.33</v>
      </c>
      <c r="D57" s="13" t="n">
        <f aca="false">Claims_Data!H57</f>
        <v>81.95</v>
      </c>
      <c r="E57" s="13" t="n">
        <f aca="false">INDEX_MATCH_Analysis!H57</f>
        <v>84</v>
      </c>
      <c r="F57" s="17" t="n">
        <f aca="false">INDEX_MATCH_Analysis!J57</f>
        <v>-0.0244047619047619</v>
      </c>
      <c r="G57" s="7" t="str">
        <f aca="false">IF(B57="Denied","Denied - RCA Needed",IF(B57="Pending","Pending - No Action",IF(E57=0,"No Rate on File",IF(ABS(F57)&lt;=0.05,"Within Threshold",IF(D57&lt;E57,"Underpaid - Escalate","Overpaid - Review")))))</f>
        <v>Within Threshold</v>
      </c>
      <c r="H57" s="7" t="str">
        <f aca="false">IF(AND(B57="Paid",ABS(F57)&gt;0.15,C57&gt;100),"High Priority Review","Standard")</f>
        <v>Standard</v>
      </c>
    </row>
    <row r="58" customFormat="false" ht="15" hidden="false" customHeight="false" outlineLevel="0" collapsed="false">
      <c r="A58" s="12" t="n">
        <f aca="false">Claims_Data!A58</f>
        <v>100057</v>
      </c>
      <c r="B58" s="12" t="str">
        <f aca="false">Claims_Data!J58</f>
        <v>Paid</v>
      </c>
      <c r="C58" s="13" t="n">
        <f aca="false">Claims_Data!G58</f>
        <v>90.01</v>
      </c>
      <c r="D58" s="13" t="n">
        <f aca="false">Claims_Data!H58</f>
        <v>84.49</v>
      </c>
      <c r="E58" s="13" t="n">
        <f aca="false">INDEX_MATCH_Analysis!H58</f>
        <v>74</v>
      </c>
      <c r="F58" s="17" t="n">
        <f aca="false">INDEX_MATCH_Analysis!J58</f>
        <v>0.141756756756757</v>
      </c>
      <c r="G58" s="7" t="str">
        <f aca="false">IF(B58="Denied","Denied - RCA Needed",IF(B58="Pending","Pending - No Action",IF(E58=0,"No Rate on File",IF(ABS(F58)&lt;=0.05,"Within Threshold",IF(D58&lt;E58,"Underpaid - Escalate","Overpaid - Review")))))</f>
        <v>Overpaid - Review</v>
      </c>
      <c r="H58" s="7" t="str">
        <f aca="false">IF(AND(B58="Paid",ABS(F58)&gt;0.15,C58&gt;100),"High Priority Review","Standard")</f>
        <v>Standard</v>
      </c>
    </row>
    <row r="59" customFormat="false" ht="15" hidden="false" customHeight="false" outlineLevel="0" collapsed="false">
      <c r="A59" s="12" t="n">
        <f aca="false">Claims_Data!A59</f>
        <v>100058</v>
      </c>
      <c r="B59" s="12" t="str">
        <f aca="false">Claims_Data!J59</f>
        <v>Paid</v>
      </c>
      <c r="C59" s="13" t="n">
        <f aca="false">Claims_Data!G59</f>
        <v>76.72</v>
      </c>
      <c r="D59" s="13" t="n">
        <f aca="false">Claims_Data!H59</f>
        <v>61.05</v>
      </c>
      <c r="E59" s="13" t="n">
        <f aca="false">INDEX_MATCH_Analysis!H59</f>
        <v>62</v>
      </c>
      <c r="F59" s="17" t="n">
        <f aca="false">INDEX_MATCH_Analysis!J59</f>
        <v>-0.0153225806451613</v>
      </c>
      <c r="G59" s="7" t="str">
        <f aca="false">IF(B59="Denied","Denied - RCA Needed",IF(B59="Pending","Pending - No Action",IF(E59=0,"No Rate on File",IF(ABS(F59)&lt;=0.05,"Within Threshold",IF(D59&lt;E59,"Underpaid - Escalate","Overpaid - Review")))))</f>
        <v>Within Threshold</v>
      </c>
      <c r="H59" s="7" t="str">
        <f aca="false">IF(AND(B59="Paid",ABS(F59)&gt;0.15,C59&gt;100),"High Priority Review","Standard")</f>
        <v>Standard</v>
      </c>
    </row>
    <row r="60" customFormat="false" ht="15" hidden="false" customHeight="false" outlineLevel="0" collapsed="false">
      <c r="A60" s="12" t="n">
        <f aca="false">Claims_Data!A60</f>
        <v>100059</v>
      </c>
      <c r="B60" s="12" t="str">
        <f aca="false">Claims_Data!J60</f>
        <v>Denied</v>
      </c>
      <c r="C60" s="13" t="n">
        <f aca="false">Claims_Data!G60</f>
        <v>178.23</v>
      </c>
      <c r="D60" s="13" t="n">
        <f aca="false">Claims_Data!H60</f>
        <v>0</v>
      </c>
      <c r="E60" s="13" t="n">
        <f aca="false">INDEX_MATCH_Analysis!H60</f>
        <v>145</v>
      </c>
      <c r="F60" s="17" t="n">
        <f aca="false">INDEX_MATCH_Analysis!J60</f>
        <v>-1</v>
      </c>
      <c r="G60" s="7" t="str">
        <f aca="false">IF(B60="Denied","Denied - RCA Needed",IF(B60="Pending","Pending - No Action",IF(E60=0,"No Rate on File",IF(ABS(F60)&lt;=0.05,"Within Threshold",IF(D60&lt;E60,"Underpaid - Escalate","Overpaid - Review")))))</f>
        <v>Denied - RCA Needed</v>
      </c>
      <c r="H60" s="7" t="str">
        <f aca="false">IF(AND(B60="Paid",ABS(F60)&gt;0.15,C60&gt;100),"High Priority Review","Standard")</f>
        <v>Standard</v>
      </c>
    </row>
    <row r="61" customFormat="false" ht="15" hidden="false" customHeight="false" outlineLevel="0" collapsed="false">
      <c r="A61" s="12" t="n">
        <f aca="false">Claims_Data!A61</f>
        <v>100060</v>
      </c>
      <c r="B61" s="12" t="str">
        <f aca="false">Claims_Data!J61</f>
        <v>Paid</v>
      </c>
      <c r="C61" s="13" t="n">
        <f aca="false">Claims_Data!G61</f>
        <v>226.61</v>
      </c>
      <c r="D61" s="13" t="n">
        <f aca="false">Claims_Data!H61</f>
        <v>144.69</v>
      </c>
      <c r="E61" s="13" t="n">
        <f aca="false">INDEX_MATCH_Analysis!H61</f>
        <v>145</v>
      </c>
      <c r="F61" s="17" t="n">
        <f aca="false">INDEX_MATCH_Analysis!J61</f>
        <v>-0.00213793103448277</v>
      </c>
      <c r="G61" s="7" t="str">
        <f aca="false">IF(B61="Denied","Denied - RCA Needed",IF(B61="Pending","Pending - No Action",IF(E61=0,"No Rate on File",IF(ABS(F61)&lt;=0.05,"Within Threshold",IF(D61&lt;E61,"Underpaid - Escalate","Overpaid - Review")))))</f>
        <v>Within Threshold</v>
      </c>
      <c r="H61" s="7" t="str">
        <f aca="false">IF(AND(B61="Paid",ABS(F61)&gt;0.15,C61&gt;100),"High Priority Review","Standard")</f>
        <v>Standard</v>
      </c>
    </row>
    <row r="62" customFormat="false" ht="15" hidden="false" customHeight="false" outlineLevel="0" collapsed="false">
      <c r="A62" s="12" t="n">
        <f aca="false">Claims_Data!A62</f>
        <v>100061</v>
      </c>
      <c r="B62" s="12" t="str">
        <f aca="false">Claims_Data!J62</f>
        <v>Paid</v>
      </c>
      <c r="C62" s="13" t="n">
        <f aca="false">Claims_Data!G62</f>
        <v>59.05</v>
      </c>
      <c r="D62" s="13" t="n">
        <f aca="false">Claims_Data!H62</f>
        <v>43.1</v>
      </c>
      <c r="E62" s="13" t="n">
        <f aca="false">INDEX_MATCH_Analysis!H62</f>
        <v>44</v>
      </c>
      <c r="F62" s="17" t="n">
        <f aca="false">INDEX_MATCH_Analysis!J62</f>
        <v>-0.0204545454545454</v>
      </c>
      <c r="G62" s="7" t="str">
        <f aca="false">IF(B62="Denied","Denied - RCA Needed",IF(B62="Pending","Pending - No Action",IF(E62=0,"No Rate on File",IF(ABS(F62)&lt;=0.05,"Within Threshold",IF(D62&lt;E62,"Underpaid - Escalate","Overpaid - Review")))))</f>
        <v>Within Threshold</v>
      </c>
      <c r="H62" s="7" t="str">
        <f aca="false">IF(AND(B62="Paid",ABS(F62)&gt;0.15,C62&gt;100),"High Priority Review","Standard")</f>
        <v>Standard</v>
      </c>
    </row>
    <row r="63" customFormat="false" ht="15" hidden="false" customHeight="false" outlineLevel="0" collapsed="false">
      <c r="A63" s="12" t="n">
        <f aca="false">Claims_Data!A63</f>
        <v>100062</v>
      </c>
      <c r="B63" s="12" t="str">
        <f aca="false">Claims_Data!J63</f>
        <v>Paid</v>
      </c>
      <c r="C63" s="13" t="n">
        <f aca="false">Claims_Data!G63</f>
        <v>183.35</v>
      </c>
      <c r="D63" s="13" t="n">
        <f aca="false">Claims_Data!H63</f>
        <v>95.63</v>
      </c>
      <c r="E63" s="13" t="n">
        <f aca="false">INDEX_MATCH_Analysis!H63</f>
        <v>120</v>
      </c>
      <c r="F63" s="17" t="n">
        <f aca="false">INDEX_MATCH_Analysis!J63</f>
        <v>-0.203083333333333</v>
      </c>
      <c r="G63" s="7" t="str">
        <f aca="false">IF(B63="Denied","Denied - RCA Needed",IF(B63="Pending","Pending - No Action",IF(E63=0,"No Rate on File",IF(ABS(F63)&lt;=0.05,"Within Threshold",IF(D63&lt;E63,"Underpaid - Escalate","Overpaid - Review")))))</f>
        <v>Underpaid - Escalate</v>
      </c>
      <c r="H63" s="7" t="str">
        <f aca="false">IF(AND(B63="Paid",ABS(F63)&gt;0.15,C63&gt;100),"High Priority Review","Standard")</f>
        <v>High Priority Review</v>
      </c>
    </row>
    <row r="64" customFormat="false" ht="15" hidden="false" customHeight="false" outlineLevel="0" collapsed="false">
      <c r="A64" s="12" t="n">
        <f aca="false">Claims_Data!A64</f>
        <v>100063</v>
      </c>
      <c r="B64" s="12" t="str">
        <f aca="false">Claims_Data!J64</f>
        <v>Paid</v>
      </c>
      <c r="C64" s="13" t="n">
        <f aca="false">Claims_Data!G64</f>
        <v>242.73</v>
      </c>
      <c r="D64" s="13" t="n">
        <f aca="false">Claims_Data!H64</f>
        <v>168.89</v>
      </c>
      <c r="E64" s="13" t="n">
        <f aca="false">INDEX_MATCH_Analysis!H64</f>
        <v>165</v>
      </c>
      <c r="F64" s="17" t="n">
        <f aca="false">INDEX_MATCH_Analysis!J64</f>
        <v>0.0235757575757575</v>
      </c>
      <c r="G64" s="7" t="str">
        <f aca="false">IF(B64="Denied","Denied - RCA Needed",IF(B64="Pending","Pending - No Action",IF(E64=0,"No Rate on File",IF(ABS(F64)&lt;=0.05,"Within Threshold",IF(D64&lt;E64,"Underpaid - Escalate","Overpaid - Review")))))</f>
        <v>Within Threshold</v>
      </c>
      <c r="H64" s="7" t="str">
        <f aca="false">IF(AND(B64="Paid",ABS(F64)&gt;0.15,C64&gt;100),"High Priority Review","Standard")</f>
        <v>Standard</v>
      </c>
    </row>
    <row r="65" customFormat="false" ht="15" hidden="false" customHeight="false" outlineLevel="0" collapsed="false">
      <c r="A65" s="12" t="n">
        <f aca="false">Claims_Data!A65</f>
        <v>100064</v>
      </c>
      <c r="B65" s="12" t="str">
        <f aca="false">Claims_Data!J65</f>
        <v>Paid</v>
      </c>
      <c r="C65" s="13" t="n">
        <f aca="false">Claims_Data!G65</f>
        <v>97.86</v>
      </c>
      <c r="D65" s="13" t="n">
        <f aca="false">Claims_Data!H65</f>
        <v>73.62</v>
      </c>
      <c r="E65" s="13" t="n">
        <f aca="false">INDEX_MATCH_Analysis!H65</f>
        <v>74</v>
      </c>
      <c r="F65" s="17" t="n">
        <f aca="false">INDEX_MATCH_Analysis!J65</f>
        <v>-0.00513513513513507</v>
      </c>
      <c r="G65" s="7" t="str">
        <f aca="false">IF(B65="Denied","Denied - RCA Needed",IF(B65="Pending","Pending - No Action",IF(E65=0,"No Rate on File",IF(ABS(F65)&lt;=0.05,"Within Threshold",IF(D65&lt;E65,"Underpaid - Escalate","Overpaid - Review")))))</f>
        <v>Within Threshold</v>
      </c>
      <c r="H65" s="7" t="str">
        <f aca="false">IF(AND(B65="Paid",ABS(F65)&gt;0.15,C65&gt;100),"High Priority Review","Standard")</f>
        <v>Standard</v>
      </c>
    </row>
    <row r="66" customFormat="false" ht="15" hidden="false" customHeight="false" outlineLevel="0" collapsed="false">
      <c r="A66" s="12" t="n">
        <f aca="false">Claims_Data!A66</f>
        <v>100065</v>
      </c>
      <c r="B66" s="12" t="str">
        <f aca="false">Claims_Data!J66</f>
        <v>Paid</v>
      </c>
      <c r="C66" s="13" t="n">
        <f aca="false">Claims_Data!G66</f>
        <v>146.68</v>
      </c>
      <c r="D66" s="13" t="n">
        <f aca="false">Claims_Data!H66</f>
        <v>134.24</v>
      </c>
      <c r="E66" s="13" t="n">
        <f aca="false">INDEX_MATCH_Analysis!H66</f>
        <v>118</v>
      </c>
      <c r="F66" s="17" t="n">
        <f aca="false">INDEX_MATCH_Analysis!J66</f>
        <v>0.137627118644068</v>
      </c>
      <c r="G66" s="7" t="str">
        <f aca="false">IF(B66="Denied","Denied - RCA Needed",IF(B66="Pending","Pending - No Action",IF(E66=0,"No Rate on File",IF(ABS(F66)&lt;=0.05,"Within Threshold",IF(D66&lt;E66,"Underpaid - Escalate","Overpaid - Review")))))</f>
        <v>Overpaid - Review</v>
      </c>
      <c r="H66" s="7" t="str">
        <f aca="false">IF(AND(B66="Paid",ABS(F66)&gt;0.15,C66&gt;100),"High Priority Review","Standard")</f>
        <v>Standard</v>
      </c>
    </row>
    <row r="67" customFormat="false" ht="15" hidden="false" customHeight="false" outlineLevel="0" collapsed="false">
      <c r="A67" s="12" t="n">
        <f aca="false">Claims_Data!A67</f>
        <v>100066</v>
      </c>
      <c r="B67" s="12" t="str">
        <f aca="false">Claims_Data!J67</f>
        <v>Paid</v>
      </c>
      <c r="C67" s="13" t="n">
        <f aca="false">Claims_Data!G67</f>
        <v>185.76</v>
      </c>
      <c r="D67" s="13" t="n">
        <f aca="false">Claims_Data!H67</f>
        <v>120.77</v>
      </c>
      <c r="E67" s="13" t="n">
        <f aca="false">INDEX_MATCH_Analysis!H67</f>
        <v>118</v>
      </c>
      <c r="F67" s="17" t="n">
        <f aca="false">INDEX_MATCH_Analysis!J67</f>
        <v>0.0234745762711864</v>
      </c>
      <c r="G67" s="7" t="str">
        <f aca="false">IF(B67="Denied","Denied - RCA Needed",IF(B67="Pending","Pending - No Action",IF(E67=0,"No Rate on File",IF(ABS(F67)&lt;=0.05,"Within Threshold",IF(D67&lt;E67,"Underpaid - Escalate","Overpaid - Review")))))</f>
        <v>Within Threshold</v>
      </c>
      <c r="H67" s="7" t="str">
        <f aca="false">IF(AND(B67="Paid",ABS(F67)&gt;0.15,C67&gt;100),"High Priority Review","Standard")</f>
        <v>Standard</v>
      </c>
    </row>
    <row r="68" customFormat="false" ht="15" hidden="false" customHeight="false" outlineLevel="0" collapsed="false">
      <c r="A68" s="12" t="n">
        <f aca="false">Claims_Data!A68</f>
        <v>100067</v>
      </c>
      <c r="B68" s="12" t="str">
        <f aca="false">Claims_Data!J68</f>
        <v>Paid</v>
      </c>
      <c r="C68" s="13" t="n">
        <f aca="false">Claims_Data!G68</f>
        <v>184.56</v>
      </c>
      <c r="D68" s="13" t="n">
        <f aca="false">Claims_Data!H68</f>
        <v>146.47</v>
      </c>
      <c r="E68" s="13" t="n">
        <f aca="false">INDEX_MATCH_Analysis!H68</f>
        <v>145</v>
      </c>
      <c r="F68" s="17" t="n">
        <f aca="false">INDEX_MATCH_Analysis!J68</f>
        <v>0.0101379310344828</v>
      </c>
      <c r="G68" s="7" t="str">
        <f aca="false">IF(B68="Denied","Denied - RCA Needed",IF(B68="Pending","Pending - No Action",IF(E68=0,"No Rate on File",IF(ABS(F68)&lt;=0.05,"Within Threshold",IF(D68&lt;E68,"Underpaid - Escalate","Overpaid - Review")))))</f>
        <v>Within Threshold</v>
      </c>
      <c r="H68" s="7" t="str">
        <f aca="false">IF(AND(B68="Paid",ABS(F68)&gt;0.15,C68&gt;100),"High Priority Review","Standard")</f>
        <v>Standard</v>
      </c>
    </row>
    <row r="69" customFormat="false" ht="15" hidden="false" customHeight="false" outlineLevel="0" collapsed="false">
      <c r="A69" s="12" t="n">
        <f aca="false">Claims_Data!A69</f>
        <v>100068</v>
      </c>
      <c r="B69" s="12" t="str">
        <f aca="false">Claims_Data!J69</f>
        <v>Paid</v>
      </c>
      <c r="C69" s="13" t="n">
        <f aca="false">Claims_Data!G69</f>
        <v>375.55</v>
      </c>
      <c r="D69" s="13" t="n">
        <f aca="false">Claims_Data!H69</f>
        <v>268.75</v>
      </c>
      <c r="E69" s="13" t="n">
        <f aca="false">INDEX_MATCH_Analysis!H69</f>
        <v>236</v>
      </c>
      <c r="F69" s="17" t="n">
        <f aca="false">INDEX_MATCH_Analysis!J69</f>
        <v>0.138771186440678</v>
      </c>
      <c r="G69" s="7" t="str">
        <f aca="false">IF(B69="Denied","Denied - RCA Needed",IF(B69="Pending","Pending - No Action",IF(E69=0,"No Rate on File",IF(ABS(F69)&lt;=0.05,"Within Threshold",IF(D69&lt;E69,"Underpaid - Escalate","Overpaid - Review")))))</f>
        <v>Overpaid - Review</v>
      </c>
      <c r="H69" s="7" t="str">
        <f aca="false">IF(AND(B69="Paid",ABS(F69)&gt;0.15,C69&gt;100),"High Priority Review","Standard")</f>
        <v>Standard</v>
      </c>
    </row>
    <row r="70" customFormat="false" ht="15" hidden="false" customHeight="false" outlineLevel="0" collapsed="false">
      <c r="A70" s="12" t="n">
        <f aca="false">Claims_Data!A70</f>
        <v>100069</v>
      </c>
      <c r="B70" s="12" t="str">
        <f aca="false">Claims_Data!J70</f>
        <v>Paid</v>
      </c>
      <c r="C70" s="13" t="n">
        <f aca="false">Claims_Data!G70</f>
        <v>363.46</v>
      </c>
      <c r="D70" s="13" t="n">
        <f aca="false">Claims_Data!H70</f>
        <v>233.56</v>
      </c>
      <c r="E70" s="13" t="n">
        <f aca="false">INDEX_MATCH_Analysis!H70</f>
        <v>236</v>
      </c>
      <c r="F70" s="17" t="n">
        <f aca="false">INDEX_MATCH_Analysis!J70</f>
        <v>-0.0103389830508474</v>
      </c>
      <c r="G70" s="7" t="str">
        <f aca="false">IF(B70="Denied","Denied - RCA Needed",IF(B70="Pending","Pending - No Action",IF(E70=0,"No Rate on File",IF(ABS(F70)&lt;=0.05,"Within Threshold",IF(D70&lt;E70,"Underpaid - Escalate","Overpaid - Review")))))</f>
        <v>Within Threshold</v>
      </c>
      <c r="H70" s="7" t="str">
        <f aca="false">IF(AND(B70="Paid",ABS(F70)&gt;0.15,C70&gt;100),"High Priority Review","Standard")</f>
        <v>Standard</v>
      </c>
    </row>
    <row r="71" customFormat="false" ht="15" hidden="false" customHeight="false" outlineLevel="0" collapsed="false">
      <c r="A71" s="12" t="n">
        <f aca="false">Claims_Data!A71</f>
        <v>100070</v>
      </c>
      <c r="B71" s="12" t="str">
        <f aca="false">Claims_Data!J71</f>
        <v>Denied</v>
      </c>
      <c r="C71" s="13" t="n">
        <f aca="false">Claims_Data!G71</f>
        <v>16.58</v>
      </c>
      <c r="D71" s="13" t="n">
        <f aca="false">Claims_Data!H71</f>
        <v>0</v>
      </c>
      <c r="E71" s="13" t="n">
        <f aca="false">INDEX_MATCH_Analysis!H71</f>
        <v>13</v>
      </c>
      <c r="F71" s="17" t="n">
        <f aca="false">INDEX_MATCH_Analysis!J71</f>
        <v>-1</v>
      </c>
      <c r="G71" s="7" t="str">
        <f aca="false">IF(B71="Denied","Denied - RCA Needed",IF(B71="Pending","Pending - No Action",IF(E71=0,"No Rate on File",IF(ABS(F71)&lt;=0.05,"Within Threshold",IF(D71&lt;E71,"Underpaid - Escalate","Overpaid - Review")))))</f>
        <v>Denied - RCA Needed</v>
      </c>
      <c r="H71" s="7" t="str">
        <f aca="false">IF(AND(B71="Paid",ABS(F71)&gt;0.15,C71&gt;100),"High Priority Review","Standard")</f>
        <v>Standard</v>
      </c>
    </row>
    <row r="72" customFormat="false" ht="15" hidden="false" customHeight="false" outlineLevel="0" collapsed="false">
      <c r="A72" s="12" t="n">
        <f aca="false">Claims_Data!A72</f>
        <v>100071</v>
      </c>
      <c r="B72" s="12" t="str">
        <f aca="false">Claims_Data!J72</f>
        <v>Paid</v>
      </c>
      <c r="C72" s="13" t="n">
        <f aca="false">Claims_Data!G72</f>
        <v>175.47</v>
      </c>
      <c r="D72" s="13" t="n">
        <f aca="false">Claims_Data!H72</f>
        <v>127.87</v>
      </c>
      <c r="E72" s="13" t="n">
        <f aca="false">INDEX_MATCH_Analysis!H72</f>
        <v>118</v>
      </c>
      <c r="F72" s="17" t="n">
        <f aca="false">INDEX_MATCH_Analysis!J72</f>
        <v>0.0836440677966102</v>
      </c>
      <c r="G72" s="7" t="str">
        <f aca="false">IF(B72="Denied","Denied - RCA Needed",IF(B72="Pending","Pending - No Action",IF(E72=0,"No Rate on File",IF(ABS(F72)&lt;=0.05,"Within Threshold",IF(D72&lt;E72,"Underpaid - Escalate","Overpaid - Review")))))</f>
        <v>Overpaid - Review</v>
      </c>
      <c r="H72" s="7" t="str">
        <f aca="false">IF(AND(B72="Paid",ABS(F72)&gt;0.15,C72&gt;100),"High Priority Review","Standard")</f>
        <v>Standard</v>
      </c>
    </row>
    <row r="73" customFormat="false" ht="15" hidden="false" customHeight="false" outlineLevel="0" collapsed="false">
      <c r="A73" s="12" t="n">
        <f aca="false">Claims_Data!A73</f>
        <v>100072</v>
      </c>
      <c r="B73" s="12" t="str">
        <f aca="false">Claims_Data!J73</f>
        <v>Paid</v>
      </c>
      <c r="C73" s="13" t="n">
        <f aca="false">Claims_Data!G73</f>
        <v>138.85</v>
      </c>
      <c r="D73" s="13" t="n">
        <f aca="false">Claims_Data!H73</f>
        <v>109.49</v>
      </c>
      <c r="E73" s="13" t="n">
        <f aca="false">INDEX_MATCH_Analysis!H73</f>
        <v>112</v>
      </c>
      <c r="F73" s="17" t="n">
        <f aca="false">INDEX_MATCH_Analysis!J73</f>
        <v>-0.0224107142857143</v>
      </c>
      <c r="G73" s="7" t="str">
        <f aca="false">IF(B73="Denied","Denied - RCA Needed",IF(B73="Pending","Pending - No Action",IF(E73=0,"No Rate on File",IF(ABS(F73)&lt;=0.05,"Within Threshold",IF(D73&lt;E73,"Underpaid - Escalate","Overpaid - Review")))))</f>
        <v>Within Threshold</v>
      </c>
      <c r="H73" s="7" t="str">
        <f aca="false">IF(AND(B73="Paid",ABS(F73)&gt;0.15,C73&gt;100),"High Priority Review","Standard")</f>
        <v>Standard</v>
      </c>
    </row>
    <row r="74" customFormat="false" ht="15" hidden="false" customHeight="false" outlineLevel="0" collapsed="false">
      <c r="A74" s="12" t="n">
        <f aca="false">Claims_Data!A74</f>
        <v>100073</v>
      </c>
      <c r="B74" s="12" t="str">
        <f aca="false">Claims_Data!J74</f>
        <v>Paid</v>
      </c>
      <c r="C74" s="13" t="n">
        <f aca="false">Claims_Data!G74</f>
        <v>343.87</v>
      </c>
      <c r="D74" s="13" t="n">
        <f aca="false">Claims_Data!H74</f>
        <v>233.42</v>
      </c>
      <c r="E74" s="13" t="n">
        <f aca="false">INDEX_MATCH_Analysis!H74</f>
        <v>230</v>
      </c>
      <c r="F74" s="17" t="n">
        <f aca="false">INDEX_MATCH_Analysis!J74</f>
        <v>0.0148695652173913</v>
      </c>
      <c r="G74" s="7" t="str">
        <f aca="false">IF(B74="Denied","Denied - RCA Needed",IF(B74="Pending","Pending - No Action",IF(E74=0,"No Rate on File",IF(ABS(F74)&lt;=0.05,"Within Threshold",IF(D74&lt;E74,"Underpaid - Escalate","Overpaid - Review")))))</f>
        <v>Within Threshold</v>
      </c>
      <c r="H74" s="7" t="str">
        <f aca="false">IF(AND(B74="Paid",ABS(F74)&gt;0.15,C74&gt;100),"High Priority Review","Standard")</f>
        <v>Standard</v>
      </c>
    </row>
    <row r="75" customFormat="false" ht="15" hidden="false" customHeight="false" outlineLevel="0" collapsed="false">
      <c r="A75" s="12" t="n">
        <f aca="false">Claims_Data!A75</f>
        <v>100074</v>
      </c>
      <c r="B75" s="12" t="str">
        <f aca="false">Claims_Data!J75</f>
        <v>Denied</v>
      </c>
      <c r="C75" s="13" t="n">
        <f aca="false">Claims_Data!G75</f>
        <v>193.23</v>
      </c>
      <c r="D75" s="13" t="n">
        <f aca="false">Claims_Data!H75</f>
        <v>0</v>
      </c>
      <c r="E75" s="13" t="n">
        <f aca="false">INDEX_MATCH_Analysis!H75</f>
        <v>137</v>
      </c>
      <c r="F75" s="17" t="n">
        <f aca="false">INDEX_MATCH_Analysis!J75</f>
        <v>-1</v>
      </c>
      <c r="G75" s="7" t="str">
        <f aca="false">IF(B75="Denied","Denied - RCA Needed",IF(B75="Pending","Pending - No Action",IF(E75=0,"No Rate on File",IF(ABS(F75)&lt;=0.05,"Within Threshold",IF(D75&lt;E75,"Underpaid - Escalate","Overpaid - Review")))))</f>
        <v>Denied - RCA Needed</v>
      </c>
      <c r="H75" s="7" t="str">
        <f aca="false">IF(AND(B75="Paid",ABS(F75)&gt;0.15,C75&gt;100),"High Priority Review","Standard")</f>
        <v>Standard</v>
      </c>
    </row>
    <row r="76" customFormat="false" ht="15" hidden="false" customHeight="false" outlineLevel="0" collapsed="false">
      <c r="A76" s="12" t="n">
        <f aca="false">Claims_Data!A76</f>
        <v>100075</v>
      </c>
      <c r="B76" s="12" t="str">
        <f aca="false">Claims_Data!J76</f>
        <v>Paid</v>
      </c>
      <c r="C76" s="13" t="n">
        <f aca="false">Claims_Data!G76</f>
        <v>118.98</v>
      </c>
      <c r="D76" s="13" t="n">
        <f aca="false">Claims_Data!H76</f>
        <v>84.99</v>
      </c>
      <c r="E76" s="13" t="n">
        <f aca="false">INDEX_MATCH_Analysis!H76</f>
        <v>84</v>
      </c>
      <c r="F76" s="17" t="n">
        <f aca="false">INDEX_MATCH_Analysis!J76</f>
        <v>0.0117857142857142</v>
      </c>
      <c r="G76" s="7" t="str">
        <f aca="false">IF(B76="Denied","Denied - RCA Needed",IF(B76="Pending","Pending - No Action",IF(E76=0,"No Rate on File",IF(ABS(F76)&lt;=0.05,"Within Threshold",IF(D76&lt;E76,"Underpaid - Escalate","Overpaid - Review")))))</f>
        <v>Within Threshold</v>
      </c>
      <c r="H76" s="7" t="str">
        <f aca="false">IF(AND(B76="Paid",ABS(F76)&gt;0.15,C76&gt;100),"High Priority Review","Standard")</f>
        <v>Standard</v>
      </c>
    </row>
    <row r="77" customFormat="false" ht="15" hidden="false" customHeight="false" outlineLevel="0" collapsed="false">
      <c r="A77" s="12" t="n">
        <f aca="false">Claims_Data!A77</f>
        <v>100076</v>
      </c>
      <c r="B77" s="12" t="str">
        <f aca="false">Claims_Data!J77</f>
        <v>Paid</v>
      </c>
      <c r="C77" s="13" t="n">
        <f aca="false">Claims_Data!G77</f>
        <v>154.14</v>
      </c>
      <c r="D77" s="13" t="n">
        <f aca="false">Claims_Data!H77</f>
        <v>118.04</v>
      </c>
      <c r="E77" s="13" t="n">
        <f aca="false">INDEX_MATCH_Analysis!H77</f>
        <v>118</v>
      </c>
      <c r="F77" s="17" t="n">
        <f aca="false">INDEX_MATCH_Analysis!J77</f>
        <v>0.000338983050847511</v>
      </c>
      <c r="G77" s="7" t="str">
        <f aca="false">IF(B77="Denied","Denied - RCA Needed",IF(B77="Pending","Pending - No Action",IF(E77=0,"No Rate on File",IF(ABS(F77)&lt;=0.05,"Within Threshold",IF(D77&lt;E77,"Underpaid - Escalate","Overpaid - Review")))))</f>
        <v>Within Threshold</v>
      </c>
      <c r="H77" s="7" t="str">
        <f aca="false">IF(AND(B77="Paid",ABS(F77)&gt;0.15,C77&gt;100),"High Priority Review","Standard")</f>
        <v>Standard</v>
      </c>
    </row>
    <row r="78" customFormat="false" ht="15" hidden="false" customHeight="false" outlineLevel="0" collapsed="false">
      <c r="A78" s="12" t="n">
        <f aca="false">Claims_Data!A78</f>
        <v>100077</v>
      </c>
      <c r="B78" s="12" t="str">
        <f aca="false">Claims_Data!J78</f>
        <v>Denied</v>
      </c>
      <c r="C78" s="13" t="n">
        <f aca="false">Claims_Data!G78</f>
        <v>32.33</v>
      </c>
      <c r="D78" s="13" t="n">
        <f aca="false">Claims_Data!H78</f>
        <v>0</v>
      </c>
      <c r="E78" s="13" t="n">
        <f aca="false">INDEX_MATCH_Analysis!H78</f>
        <v>27</v>
      </c>
      <c r="F78" s="17" t="n">
        <f aca="false">INDEX_MATCH_Analysis!J78</f>
        <v>-1</v>
      </c>
      <c r="G78" s="7" t="str">
        <f aca="false">IF(B78="Denied","Denied - RCA Needed",IF(B78="Pending","Pending - No Action",IF(E78=0,"No Rate on File",IF(ABS(F78)&lt;=0.05,"Within Threshold",IF(D78&lt;E78,"Underpaid - Escalate","Overpaid - Review")))))</f>
        <v>Denied - RCA Needed</v>
      </c>
      <c r="H78" s="7" t="str">
        <f aca="false">IF(AND(B78="Paid",ABS(F78)&gt;0.15,C78&gt;100),"High Priority Review","Standard")</f>
        <v>Standard</v>
      </c>
    </row>
    <row r="79" customFormat="false" ht="15" hidden="false" customHeight="false" outlineLevel="0" collapsed="false">
      <c r="A79" s="12" t="n">
        <f aca="false">Claims_Data!A79</f>
        <v>100078</v>
      </c>
      <c r="B79" s="12" t="str">
        <f aca="false">Claims_Data!J79</f>
        <v>Paid</v>
      </c>
      <c r="C79" s="13" t="n">
        <f aca="false">Claims_Data!G79</f>
        <v>34.86</v>
      </c>
      <c r="D79" s="13" t="n">
        <f aca="false">Claims_Data!H79</f>
        <v>17.77</v>
      </c>
      <c r="E79" s="13" t="n">
        <f aca="false">INDEX_MATCH_Analysis!H79</f>
        <v>22</v>
      </c>
      <c r="F79" s="17" t="n">
        <f aca="false">INDEX_MATCH_Analysis!J79</f>
        <v>-0.192272727272727</v>
      </c>
      <c r="G79" s="7" t="str">
        <f aca="false">IF(B79="Denied","Denied - RCA Needed",IF(B79="Pending","Pending - No Action",IF(E79=0,"No Rate on File",IF(ABS(F79)&lt;=0.05,"Within Threshold",IF(D79&lt;E79,"Underpaid - Escalate","Overpaid - Review")))))</f>
        <v>Underpaid - Escalate</v>
      </c>
      <c r="H79" s="7" t="str">
        <f aca="false">IF(AND(B79="Paid",ABS(F79)&gt;0.15,C79&gt;100),"High Priority Review","Standard")</f>
        <v>Standard</v>
      </c>
    </row>
    <row r="80" customFormat="false" ht="15" hidden="false" customHeight="false" outlineLevel="0" collapsed="false">
      <c r="A80" s="12" t="n">
        <f aca="false">Claims_Data!A80</f>
        <v>100079</v>
      </c>
      <c r="B80" s="12" t="str">
        <f aca="false">Claims_Data!J80</f>
        <v>Paid</v>
      </c>
      <c r="C80" s="13" t="n">
        <f aca="false">Claims_Data!G80</f>
        <v>78.79</v>
      </c>
      <c r="D80" s="13" t="n">
        <f aca="false">Claims_Data!H80</f>
        <v>44.47</v>
      </c>
      <c r="E80" s="13" t="n">
        <f aca="false">INDEX_MATCH_Analysis!H80</f>
        <v>62</v>
      </c>
      <c r="F80" s="17" t="n">
        <f aca="false">INDEX_MATCH_Analysis!J80</f>
        <v>-0.282741935483871</v>
      </c>
      <c r="G80" s="7" t="str">
        <f aca="false">IF(B80="Denied","Denied - RCA Needed",IF(B80="Pending","Pending - No Action",IF(E80=0,"No Rate on File",IF(ABS(F80)&lt;=0.05,"Within Threshold",IF(D80&lt;E80,"Underpaid - Escalate","Overpaid - Review")))))</f>
        <v>Underpaid - Escalate</v>
      </c>
      <c r="H80" s="7" t="str">
        <f aca="false">IF(AND(B80="Paid",ABS(F80)&gt;0.15,C80&gt;100),"High Priority Review","Standard")</f>
        <v>Standard</v>
      </c>
    </row>
    <row r="81" customFormat="false" ht="15" hidden="false" customHeight="false" outlineLevel="0" collapsed="false">
      <c r="A81" s="12" t="n">
        <f aca="false">Claims_Data!A81</f>
        <v>100080</v>
      </c>
      <c r="B81" s="12" t="str">
        <f aca="false">Claims_Data!J81</f>
        <v>Paid</v>
      </c>
      <c r="C81" s="13" t="n">
        <f aca="false">Claims_Data!G81</f>
        <v>88.33</v>
      </c>
      <c r="D81" s="13" t="n">
        <f aca="false">Claims_Data!H81</f>
        <v>63.31</v>
      </c>
      <c r="E81" s="13" t="n">
        <f aca="false">INDEX_MATCH_Analysis!H81</f>
        <v>62</v>
      </c>
      <c r="F81" s="17" t="n">
        <f aca="false">INDEX_MATCH_Analysis!J81</f>
        <v>0.0211290322580646</v>
      </c>
      <c r="G81" s="7" t="str">
        <f aca="false">IF(B81="Denied","Denied - RCA Needed",IF(B81="Pending","Pending - No Action",IF(E81=0,"No Rate on File",IF(ABS(F81)&lt;=0.05,"Within Threshold",IF(D81&lt;E81,"Underpaid - Escalate","Overpaid - Review")))))</f>
        <v>Within Threshold</v>
      </c>
      <c r="H81" s="7" t="str">
        <f aca="false">IF(AND(B81="Paid",ABS(F81)&gt;0.15,C81&gt;100),"High Priority Review","Standard")</f>
        <v>Standard</v>
      </c>
    </row>
    <row r="82" customFormat="false" ht="15" hidden="false" customHeight="false" outlineLevel="0" collapsed="false">
      <c r="A82" s="12" t="n">
        <f aca="false">Claims_Data!A82</f>
        <v>100081</v>
      </c>
      <c r="B82" s="12" t="str">
        <f aca="false">Claims_Data!J82</f>
        <v>Paid</v>
      </c>
      <c r="C82" s="13" t="n">
        <f aca="false">Claims_Data!G82</f>
        <v>144.87</v>
      </c>
      <c r="D82" s="13" t="n">
        <f aca="false">Claims_Data!H82</f>
        <v>110.9</v>
      </c>
      <c r="E82" s="13" t="n">
        <f aca="false">INDEX_MATCH_Analysis!H82</f>
        <v>96</v>
      </c>
      <c r="F82" s="17" t="n">
        <f aca="false">INDEX_MATCH_Analysis!J82</f>
        <v>0.155208333333333</v>
      </c>
      <c r="G82" s="7" t="str">
        <f aca="false">IF(B82="Denied","Denied - RCA Needed",IF(B82="Pending","Pending - No Action",IF(E82=0,"No Rate on File",IF(ABS(F82)&lt;=0.05,"Within Threshold",IF(D82&lt;E82,"Underpaid - Escalate","Overpaid - Review")))))</f>
        <v>Overpaid - Review</v>
      </c>
      <c r="H82" s="7" t="str">
        <f aca="false">IF(AND(B82="Paid",ABS(F82)&gt;0.15,C82&gt;100),"High Priority Review","Standard")</f>
        <v>High Priority Review</v>
      </c>
    </row>
    <row r="83" customFormat="false" ht="15" hidden="false" customHeight="false" outlineLevel="0" collapsed="false">
      <c r="A83" s="12" t="n">
        <f aca="false">Claims_Data!A83</f>
        <v>100082</v>
      </c>
      <c r="B83" s="12" t="str">
        <f aca="false">Claims_Data!J83</f>
        <v>Paid</v>
      </c>
      <c r="C83" s="13" t="n">
        <f aca="false">Claims_Data!G83</f>
        <v>172.34</v>
      </c>
      <c r="D83" s="13" t="n">
        <f aca="false">Claims_Data!H83</f>
        <v>147.25</v>
      </c>
      <c r="E83" s="13" t="n">
        <f aca="false">INDEX_MATCH_Analysis!H83</f>
        <v>145</v>
      </c>
      <c r="F83" s="17" t="n">
        <f aca="false">INDEX_MATCH_Analysis!J83</f>
        <v>0.0155172413793103</v>
      </c>
      <c r="G83" s="7" t="str">
        <f aca="false">IF(B83="Denied","Denied - RCA Needed",IF(B83="Pending","Pending - No Action",IF(E83=0,"No Rate on File",IF(ABS(F83)&lt;=0.05,"Within Threshold",IF(D83&lt;E83,"Underpaid - Escalate","Overpaid - Review")))))</f>
        <v>Within Threshold</v>
      </c>
      <c r="H83" s="7" t="str">
        <f aca="false">IF(AND(B83="Paid",ABS(F83)&gt;0.15,C83&gt;100),"High Priority Review","Standard")</f>
        <v>Standard</v>
      </c>
    </row>
    <row r="84" customFormat="false" ht="15" hidden="false" customHeight="false" outlineLevel="0" collapsed="false">
      <c r="A84" s="12" t="n">
        <f aca="false">Claims_Data!A84</f>
        <v>100083</v>
      </c>
      <c r="B84" s="12" t="str">
        <f aca="false">Claims_Data!J84</f>
        <v>Paid</v>
      </c>
      <c r="C84" s="13" t="n">
        <f aca="false">Claims_Data!G84</f>
        <v>140.64</v>
      </c>
      <c r="D84" s="13" t="n">
        <f aca="false">Claims_Data!H84</f>
        <v>89.83</v>
      </c>
      <c r="E84" s="13" t="n">
        <f aca="false">INDEX_MATCH_Analysis!H84</f>
        <v>118</v>
      </c>
      <c r="F84" s="17" t="n">
        <f aca="false">INDEX_MATCH_Analysis!J84</f>
        <v>-0.238728813559322</v>
      </c>
      <c r="G84" s="7" t="str">
        <f aca="false">IF(B84="Denied","Denied - RCA Needed",IF(B84="Pending","Pending - No Action",IF(E84=0,"No Rate on File",IF(ABS(F84)&lt;=0.05,"Within Threshold",IF(D84&lt;E84,"Underpaid - Escalate","Overpaid - Review")))))</f>
        <v>Underpaid - Escalate</v>
      </c>
      <c r="H84" s="7" t="str">
        <f aca="false">IF(AND(B84="Paid",ABS(F84)&gt;0.15,C84&gt;100),"High Priority Review","Standard")</f>
        <v>High Priority Review</v>
      </c>
    </row>
    <row r="85" customFormat="false" ht="15" hidden="false" customHeight="false" outlineLevel="0" collapsed="false">
      <c r="A85" s="12" t="n">
        <f aca="false">Claims_Data!A85</f>
        <v>100084</v>
      </c>
      <c r="B85" s="12" t="str">
        <f aca="false">Claims_Data!J85</f>
        <v>Pending</v>
      </c>
      <c r="C85" s="13" t="n">
        <f aca="false">Claims_Data!G85</f>
        <v>57.41</v>
      </c>
      <c r="D85" s="13" t="n">
        <f aca="false">Claims_Data!H85</f>
        <v>0</v>
      </c>
      <c r="E85" s="13" t="n">
        <f aca="false">INDEX_MATCH_Analysis!H85</f>
        <v>44</v>
      </c>
      <c r="F85" s="17" t="n">
        <f aca="false">INDEX_MATCH_Analysis!J85</f>
        <v>-1</v>
      </c>
      <c r="G85" s="7" t="str">
        <f aca="false">IF(B85="Denied","Denied - RCA Needed",IF(B85="Pending","Pending - No Action",IF(E85=0,"No Rate on File",IF(ABS(F85)&lt;=0.05,"Within Threshold",IF(D85&lt;E85,"Underpaid - Escalate","Overpaid - Review")))))</f>
        <v>Pending - No Action</v>
      </c>
      <c r="H85" s="7" t="str">
        <f aca="false">IF(AND(B85="Paid",ABS(F85)&gt;0.15,C85&gt;100),"High Priority Review","Standard")</f>
        <v>Standard</v>
      </c>
    </row>
    <row r="86" customFormat="false" ht="15" hidden="false" customHeight="false" outlineLevel="0" collapsed="false">
      <c r="A86" s="12" t="n">
        <f aca="false">Claims_Data!A86</f>
        <v>100085</v>
      </c>
      <c r="B86" s="12" t="str">
        <f aca="false">Claims_Data!J86</f>
        <v>Paid</v>
      </c>
      <c r="C86" s="13" t="n">
        <f aca="false">Claims_Data!G86</f>
        <v>296.24</v>
      </c>
      <c r="D86" s="13" t="n">
        <f aca="false">Claims_Data!H86</f>
        <v>175.52</v>
      </c>
      <c r="E86" s="13" t="n">
        <f aca="false">INDEX_MATCH_Analysis!H86</f>
        <v>230</v>
      </c>
      <c r="F86" s="17" t="n">
        <f aca="false">INDEX_MATCH_Analysis!J86</f>
        <v>-0.236869565217391</v>
      </c>
      <c r="G86" s="7" t="str">
        <f aca="false">IF(B86="Denied","Denied - RCA Needed",IF(B86="Pending","Pending - No Action",IF(E86=0,"No Rate on File",IF(ABS(F86)&lt;=0.05,"Within Threshold",IF(D86&lt;E86,"Underpaid - Escalate","Overpaid - Review")))))</f>
        <v>Underpaid - Escalate</v>
      </c>
      <c r="H86" s="7" t="str">
        <f aca="false">IF(AND(B86="Paid",ABS(F86)&gt;0.15,C86&gt;100),"High Priority Review","Standard")</f>
        <v>High Priority Review</v>
      </c>
    </row>
    <row r="87" customFormat="false" ht="15" hidden="false" customHeight="false" outlineLevel="0" collapsed="false">
      <c r="A87" s="12" t="n">
        <f aca="false">Claims_Data!A87</f>
        <v>100086</v>
      </c>
      <c r="B87" s="12" t="str">
        <f aca="false">Claims_Data!J87</f>
        <v>Paid</v>
      </c>
      <c r="C87" s="13" t="n">
        <f aca="false">Claims_Data!G87</f>
        <v>17.84</v>
      </c>
      <c r="D87" s="13" t="n">
        <f aca="false">Claims_Data!H87</f>
        <v>11.47</v>
      </c>
      <c r="E87" s="13" t="n">
        <f aca="false">INDEX_MATCH_Analysis!H87</f>
        <v>14</v>
      </c>
      <c r="F87" s="17" t="n">
        <f aca="false">INDEX_MATCH_Analysis!J87</f>
        <v>-0.180714285714286</v>
      </c>
      <c r="G87" s="7" t="str">
        <f aca="false">IF(B87="Denied","Denied - RCA Needed",IF(B87="Pending","Pending - No Action",IF(E87=0,"No Rate on File",IF(ABS(F87)&lt;=0.05,"Within Threshold",IF(D87&lt;E87,"Underpaid - Escalate","Overpaid - Review")))))</f>
        <v>Underpaid - Escalate</v>
      </c>
      <c r="H87" s="7" t="str">
        <f aca="false">IF(AND(B87="Paid",ABS(F87)&gt;0.15,C87&gt;100),"High Priority Review","Standard")</f>
        <v>Standard</v>
      </c>
    </row>
    <row r="88" customFormat="false" ht="15" hidden="false" customHeight="false" outlineLevel="0" collapsed="false">
      <c r="A88" s="12" t="n">
        <f aca="false">Claims_Data!A88</f>
        <v>100087</v>
      </c>
      <c r="B88" s="12" t="str">
        <f aca="false">Claims_Data!J88</f>
        <v>Paid</v>
      </c>
      <c r="C88" s="13" t="n">
        <f aca="false">Claims_Data!G88</f>
        <v>157.49</v>
      </c>
      <c r="D88" s="13" t="n">
        <f aca="false">Claims_Data!H88</f>
        <v>87.04</v>
      </c>
      <c r="E88" s="13" t="n">
        <f aca="false">INDEX_MATCH_Analysis!H88</f>
        <v>120</v>
      </c>
      <c r="F88" s="17" t="n">
        <f aca="false">INDEX_MATCH_Analysis!J88</f>
        <v>-0.274666666666667</v>
      </c>
      <c r="G88" s="7" t="str">
        <f aca="false">IF(B88="Denied","Denied - RCA Needed",IF(B88="Pending","Pending - No Action",IF(E88=0,"No Rate on File",IF(ABS(F88)&lt;=0.05,"Within Threshold",IF(D88&lt;E88,"Underpaid - Escalate","Overpaid - Review")))))</f>
        <v>Underpaid - Escalate</v>
      </c>
      <c r="H88" s="7" t="str">
        <f aca="false">IF(AND(B88="Paid",ABS(F88)&gt;0.15,C88&gt;100),"High Priority Review","Standard")</f>
        <v>High Priority Review</v>
      </c>
    </row>
    <row r="89" customFormat="false" ht="15" hidden="false" customHeight="false" outlineLevel="0" collapsed="false">
      <c r="A89" s="12" t="n">
        <f aca="false">Claims_Data!A89</f>
        <v>100088</v>
      </c>
      <c r="B89" s="12" t="str">
        <f aca="false">Claims_Data!J89</f>
        <v>Paid</v>
      </c>
      <c r="C89" s="13" t="n">
        <f aca="false">Claims_Data!G89</f>
        <v>336.68</v>
      </c>
      <c r="D89" s="13" t="n">
        <f aca="false">Claims_Data!H89</f>
        <v>258.44</v>
      </c>
      <c r="E89" s="13" t="n">
        <f aca="false">INDEX_MATCH_Analysis!H89</f>
        <v>230</v>
      </c>
      <c r="F89" s="17" t="n">
        <f aca="false">INDEX_MATCH_Analysis!J89</f>
        <v>0.123652173913043</v>
      </c>
      <c r="G89" s="7" t="str">
        <f aca="false">IF(B89="Denied","Denied - RCA Needed",IF(B89="Pending","Pending - No Action",IF(E89=0,"No Rate on File",IF(ABS(F89)&lt;=0.05,"Within Threshold",IF(D89&lt;E89,"Underpaid - Escalate","Overpaid - Review")))))</f>
        <v>Overpaid - Review</v>
      </c>
      <c r="H89" s="7" t="str">
        <f aca="false">IF(AND(B89="Paid",ABS(F89)&gt;0.15,C89&gt;100),"High Priority Review","Standard")</f>
        <v>Standard</v>
      </c>
    </row>
    <row r="90" customFormat="false" ht="15" hidden="false" customHeight="false" outlineLevel="0" collapsed="false">
      <c r="A90" s="12" t="n">
        <f aca="false">Claims_Data!A90</f>
        <v>100089</v>
      </c>
      <c r="B90" s="12" t="str">
        <f aca="false">Claims_Data!J90</f>
        <v>Paid</v>
      </c>
      <c r="C90" s="13" t="n">
        <f aca="false">Claims_Data!G90</f>
        <v>36.4</v>
      </c>
      <c r="D90" s="13" t="n">
        <f aca="false">Claims_Data!H90</f>
        <v>27.71</v>
      </c>
      <c r="E90" s="13" t="n">
        <f aca="false">INDEX_MATCH_Analysis!H90</f>
        <v>27</v>
      </c>
      <c r="F90" s="17" t="n">
        <f aca="false">INDEX_MATCH_Analysis!J90</f>
        <v>0.0262962962962963</v>
      </c>
      <c r="G90" s="7" t="str">
        <f aca="false">IF(B90="Denied","Denied - RCA Needed",IF(B90="Pending","Pending - No Action",IF(E90=0,"No Rate on File",IF(ABS(F90)&lt;=0.05,"Within Threshold",IF(D90&lt;E90,"Underpaid - Escalate","Overpaid - Review")))))</f>
        <v>Within Threshold</v>
      </c>
      <c r="H90" s="7" t="str">
        <f aca="false">IF(AND(B90="Paid",ABS(F90)&gt;0.15,C90&gt;100),"High Priority Review","Standard")</f>
        <v>Standard</v>
      </c>
    </row>
    <row r="91" customFormat="false" ht="15" hidden="false" customHeight="false" outlineLevel="0" collapsed="false">
      <c r="A91" s="12" t="n">
        <f aca="false">Claims_Data!A91</f>
        <v>100090</v>
      </c>
      <c r="B91" s="12" t="str">
        <f aca="false">Claims_Data!J91</f>
        <v>Paid</v>
      </c>
      <c r="C91" s="13" t="n">
        <f aca="false">Claims_Data!G91</f>
        <v>16.46</v>
      </c>
      <c r="D91" s="13" t="n">
        <f aca="false">Claims_Data!H91</f>
        <v>8.76</v>
      </c>
      <c r="E91" s="13" t="n">
        <f aca="false">INDEX_MATCH_Analysis!H91</f>
        <v>12</v>
      </c>
      <c r="F91" s="17" t="n">
        <f aca="false">INDEX_MATCH_Analysis!J91</f>
        <v>-0.27</v>
      </c>
      <c r="G91" s="7" t="str">
        <f aca="false">IF(B91="Denied","Denied - RCA Needed",IF(B91="Pending","Pending - No Action",IF(E91=0,"No Rate on File",IF(ABS(F91)&lt;=0.05,"Within Threshold",IF(D91&lt;E91,"Underpaid - Escalate","Overpaid - Review")))))</f>
        <v>Underpaid - Escalate</v>
      </c>
      <c r="H91" s="7" t="str">
        <f aca="false">IF(AND(B91="Paid",ABS(F91)&gt;0.15,C91&gt;100),"High Priority Review","Standard")</f>
        <v>Standard</v>
      </c>
    </row>
    <row r="92" customFormat="false" ht="15" hidden="false" customHeight="false" outlineLevel="0" collapsed="false">
      <c r="A92" s="12" t="n">
        <f aca="false">Claims_Data!A92</f>
        <v>100091</v>
      </c>
      <c r="B92" s="12" t="str">
        <f aca="false">Claims_Data!J92</f>
        <v>Paid</v>
      </c>
      <c r="C92" s="13" t="n">
        <f aca="false">Claims_Data!G92</f>
        <v>117.7</v>
      </c>
      <c r="D92" s="13" t="n">
        <f aca="false">Claims_Data!H92</f>
        <v>84.6</v>
      </c>
      <c r="E92" s="13" t="n">
        <f aca="false">INDEX_MATCH_Analysis!H92</f>
        <v>84</v>
      </c>
      <c r="F92" s="17" t="n">
        <f aca="false">INDEX_MATCH_Analysis!J92</f>
        <v>0.00714285714285708</v>
      </c>
      <c r="G92" s="7" t="str">
        <f aca="false">IF(B92="Denied","Denied - RCA Needed",IF(B92="Pending","Pending - No Action",IF(E92=0,"No Rate on File",IF(ABS(F92)&lt;=0.05,"Within Threshold",IF(D92&lt;E92,"Underpaid - Escalate","Overpaid - Review")))))</f>
        <v>Within Threshold</v>
      </c>
      <c r="H92" s="7" t="str">
        <f aca="false">IF(AND(B92="Paid",ABS(F92)&gt;0.15,C92&gt;100),"High Priority Review","Standard")</f>
        <v>Standard</v>
      </c>
    </row>
    <row r="93" customFormat="false" ht="15" hidden="false" customHeight="false" outlineLevel="0" collapsed="false">
      <c r="A93" s="12" t="n">
        <f aca="false">Claims_Data!A93</f>
        <v>100092</v>
      </c>
      <c r="B93" s="12" t="str">
        <f aca="false">Claims_Data!J93</f>
        <v>Paid</v>
      </c>
      <c r="C93" s="13" t="n">
        <f aca="false">Claims_Data!G93</f>
        <v>34.66</v>
      </c>
      <c r="D93" s="13" t="n">
        <f aca="false">Claims_Data!H93</f>
        <v>27.11</v>
      </c>
      <c r="E93" s="13" t="n">
        <f aca="false">INDEX_MATCH_Analysis!H93</f>
        <v>27</v>
      </c>
      <c r="F93" s="17" t="n">
        <f aca="false">INDEX_MATCH_Analysis!J93</f>
        <v>0.00407407407407405</v>
      </c>
      <c r="G93" s="7" t="str">
        <f aca="false">IF(B93="Denied","Denied - RCA Needed",IF(B93="Pending","Pending - No Action",IF(E93=0,"No Rate on File",IF(ABS(F93)&lt;=0.05,"Within Threshold",IF(D93&lt;E93,"Underpaid - Escalate","Overpaid - Review")))))</f>
        <v>Within Threshold</v>
      </c>
      <c r="H93" s="7" t="str">
        <f aca="false">IF(AND(B93="Paid",ABS(F93)&gt;0.15,C93&gt;100),"High Priority Review","Standard")</f>
        <v>Standard</v>
      </c>
    </row>
    <row r="94" customFormat="false" ht="15" hidden="false" customHeight="false" outlineLevel="0" collapsed="false">
      <c r="A94" s="12" t="n">
        <f aca="false">Claims_Data!A94</f>
        <v>100093</v>
      </c>
      <c r="B94" s="12" t="str">
        <f aca="false">Claims_Data!J94</f>
        <v>Paid</v>
      </c>
      <c r="C94" s="13" t="n">
        <f aca="false">Claims_Data!G94</f>
        <v>93.91</v>
      </c>
      <c r="D94" s="13" t="n">
        <f aca="false">Claims_Data!H94</f>
        <v>74.23</v>
      </c>
      <c r="E94" s="13" t="n">
        <f aca="false">INDEX_MATCH_Analysis!H94</f>
        <v>74</v>
      </c>
      <c r="F94" s="17" t="n">
        <f aca="false">INDEX_MATCH_Analysis!J94</f>
        <v>0.00310810810810816</v>
      </c>
      <c r="G94" s="7" t="str">
        <f aca="false">IF(B94="Denied","Denied - RCA Needed",IF(B94="Pending","Pending - No Action",IF(E94=0,"No Rate on File",IF(ABS(F94)&lt;=0.05,"Within Threshold",IF(D94&lt;E94,"Underpaid - Escalate","Overpaid - Review")))))</f>
        <v>Within Threshold</v>
      </c>
      <c r="H94" s="7" t="str">
        <f aca="false">IF(AND(B94="Paid",ABS(F94)&gt;0.15,C94&gt;100),"High Priority Review","Standard")</f>
        <v>Standard</v>
      </c>
    </row>
    <row r="95" customFormat="false" ht="15" hidden="false" customHeight="false" outlineLevel="0" collapsed="false">
      <c r="A95" s="12" t="n">
        <f aca="false">Claims_Data!A95</f>
        <v>100094</v>
      </c>
      <c r="B95" s="12" t="str">
        <f aca="false">Claims_Data!J95</f>
        <v>Paid</v>
      </c>
      <c r="C95" s="13" t="n">
        <f aca="false">Claims_Data!G95</f>
        <v>39.43</v>
      </c>
      <c r="D95" s="13" t="n">
        <f aca="false">Claims_Data!H95</f>
        <v>26.66</v>
      </c>
      <c r="E95" s="13" t="n">
        <f aca="false">INDEX_MATCH_Analysis!H95</f>
        <v>27</v>
      </c>
      <c r="F95" s="17" t="n">
        <f aca="false">INDEX_MATCH_Analysis!J95</f>
        <v>-0.0125925925925926</v>
      </c>
      <c r="G95" s="7" t="str">
        <f aca="false">IF(B95="Denied","Denied - RCA Needed",IF(B95="Pending","Pending - No Action",IF(E95=0,"No Rate on File",IF(ABS(F95)&lt;=0.05,"Within Threshold",IF(D95&lt;E95,"Underpaid - Escalate","Overpaid - Review")))))</f>
        <v>Within Threshold</v>
      </c>
      <c r="H95" s="7" t="str">
        <f aca="false">IF(AND(B95="Paid",ABS(F95)&gt;0.15,C95&gt;100),"High Priority Review","Standard")</f>
        <v>Standard</v>
      </c>
    </row>
    <row r="96" customFormat="false" ht="15" hidden="false" customHeight="false" outlineLevel="0" collapsed="false">
      <c r="A96" s="12" t="n">
        <f aca="false">Claims_Data!A96</f>
        <v>100095</v>
      </c>
      <c r="B96" s="12" t="str">
        <f aca="false">Claims_Data!J96</f>
        <v>Paid</v>
      </c>
      <c r="C96" s="13" t="n">
        <f aca="false">Claims_Data!G96</f>
        <v>175.37</v>
      </c>
      <c r="D96" s="13" t="n">
        <f aca="false">Claims_Data!H96</f>
        <v>113.08</v>
      </c>
      <c r="E96" s="13" t="n">
        <f aca="false">INDEX_MATCH_Analysis!H96</f>
        <v>112</v>
      </c>
      <c r="F96" s="17" t="n">
        <f aca="false">INDEX_MATCH_Analysis!J96</f>
        <v>0.00964285714285713</v>
      </c>
      <c r="G96" s="7" t="str">
        <f aca="false">IF(B96="Denied","Denied - RCA Needed",IF(B96="Pending","Pending - No Action",IF(E96=0,"No Rate on File",IF(ABS(F96)&lt;=0.05,"Within Threshold",IF(D96&lt;E96,"Underpaid - Escalate","Overpaid - Review")))))</f>
        <v>Within Threshold</v>
      </c>
      <c r="H96" s="7" t="str">
        <f aca="false">IF(AND(B96="Paid",ABS(F96)&gt;0.15,C96&gt;100),"High Priority Review","Standard")</f>
        <v>Standard</v>
      </c>
    </row>
    <row r="97" customFormat="false" ht="15" hidden="false" customHeight="false" outlineLevel="0" collapsed="false">
      <c r="A97" s="12" t="n">
        <f aca="false">Claims_Data!A97</f>
        <v>100096</v>
      </c>
      <c r="B97" s="12" t="str">
        <f aca="false">Claims_Data!J97</f>
        <v>Paid</v>
      </c>
      <c r="C97" s="13" t="n">
        <f aca="false">Claims_Data!G97</f>
        <v>42.54</v>
      </c>
      <c r="D97" s="13" t="n">
        <f aca="false">Claims_Data!H97</f>
        <v>33.27</v>
      </c>
      <c r="E97" s="13" t="n">
        <f aca="false">INDEX_MATCH_Analysis!H97</f>
        <v>34</v>
      </c>
      <c r="F97" s="17" t="n">
        <f aca="false">INDEX_MATCH_Analysis!J97</f>
        <v>-0.021470588235294</v>
      </c>
      <c r="G97" s="7" t="str">
        <f aca="false">IF(B97="Denied","Denied - RCA Needed",IF(B97="Pending","Pending - No Action",IF(E97=0,"No Rate on File",IF(ABS(F97)&lt;=0.05,"Within Threshold",IF(D97&lt;E97,"Underpaid - Escalate","Overpaid - Review")))))</f>
        <v>Within Threshold</v>
      </c>
      <c r="H97" s="7" t="str">
        <f aca="false">IF(AND(B97="Paid",ABS(F97)&gt;0.15,C97&gt;100),"High Priority Review","Standard")</f>
        <v>Standard</v>
      </c>
    </row>
    <row r="98" customFormat="false" ht="15" hidden="false" customHeight="false" outlineLevel="0" collapsed="false">
      <c r="A98" s="12" t="n">
        <f aca="false">Claims_Data!A98</f>
        <v>100097</v>
      </c>
      <c r="B98" s="12" t="str">
        <f aca="false">Claims_Data!J98</f>
        <v>Paid</v>
      </c>
      <c r="C98" s="13" t="n">
        <f aca="false">Claims_Data!G98</f>
        <v>75.84</v>
      </c>
      <c r="D98" s="13" t="n">
        <f aca="false">Claims_Data!H98</f>
        <v>49.85</v>
      </c>
      <c r="E98" s="13" t="n">
        <f aca="false">INDEX_MATCH_Analysis!H98</f>
        <v>51</v>
      </c>
      <c r="F98" s="17" t="n">
        <f aca="false">INDEX_MATCH_Analysis!J98</f>
        <v>-0.0225490196078431</v>
      </c>
      <c r="G98" s="7" t="str">
        <f aca="false">IF(B98="Denied","Denied - RCA Needed",IF(B98="Pending","Pending - No Action",IF(E98=0,"No Rate on File",IF(ABS(F98)&lt;=0.05,"Within Threshold",IF(D98&lt;E98,"Underpaid - Escalate","Overpaid - Review")))))</f>
        <v>Within Threshold</v>
      </c>
      <c r="H98" s="7" t="str">
        <f aca="false">IF(AND(B98="Paid",ABS(F98)&gt;0.15,C98&gt;100),"High Priority Review","Standard")</f>
        <v>Standard</v>
      </c>
    </row>
    <row r="99" customFormat="false" ht="15" hidden="false" customHeight="false" outlineLevel="0" collapsed="false">
      <c r="A99" s="12" t="n">
        <f aca="false">Claims_Data!A99</f>
        <v>100098</v>
      </c>
      <c r="B99" s="12" t="str">
        <f aca="false">Claims_Data!J99</f>
        <v>Paid</v>
      </c>
      <c r="C99" s="13" t="n">
        <f aca="false">Claims_Data!G99</f>
        <v>50.15</v>
      </c>
      <c r="D99" s="13" t="n">
        <f aca="false">Claims_Data!H99</f>
        <v>36.84</v>
      </c>
      <c r="E99" s="13" t="n">
        <f aca="false">INDEX_MATCH_Analysis!H99</f>
        <v>36</v>
      </c>
      <c r="F99" s="17" t="n">
        <f aca="false">INDEX_MATCH_Analysis!J99</f>
        <v>0.0233333333333334</v>
      </c>
      <c r="G99" s="7" t="str">
        <f aca="false">IF(B99="Denied","Denied - RCA Needed",IF(B99="Pending","Pending - No Action",IF(E99=0,"No Rate on File",IF(ABS(F99)&lt;=0.05,"Within Threshold",IF(D99&lt;E99,"Underpaid - Escalate","Overpaid - Review")))))</f>
        <v>Within Threshold</v>
      </c>
      <c r="H99" s="7" t="str">
        <f aca="false">IF(AND(B99="Paid",ABS(F99)&gt;0.15,C99&gt;100),"High Priority Review","Standard")</f>
        <v>Standard</v>
      </c>
    </row>
    <row r="100" customFormat="false" ht="15" hidden="false" customHeight="false" outlineLevel="0" collapsed="false">
      <c r="A100" s="12" t="n">
        <f aca="false">Claims_Data!A100</f>
        <v>100099</v>
      </c>
      <c r="B100" s="12" t="str">
        <f aca="false">Claims_Data!J100</f>
        <v>Paid</v>
      </c>
      <c r="C100" s="13" t="n">
        <f aca="false">Claims_Data!G100</f>
        <v>160.39</v>
      </c>
      <c r="D100" s="13" t="n">
        <f aca="false">Claims_Data!H100</f>
        <v>145.67</v>
      </c>
      <c r="E100" s="13" t="n">
        <f aca="false">INDEX_MATCH_Analysis!H100</f>
        <v>128</v>
      </c>
      <c r="F100" s="17" t="n">
        <f aca="false">INDEX_MATCH_Analysis!J100</f>
        <v>0.138046875</v>
      </c>
      <c r="G100" s="7" t="str">
        <f aca="false">IF(B100="Denied","Denied - RCA Needed",IF(B100="Pending","Pending - No Action",IF(E100=0,"No Rate on File",IF(ABS(F100)&lt;=0.05,"Within Threshold",IF(D100&lt;E100,"Underpaid - Escalate","Overpaid - Review")))))</f>
        <v>Overpaid - Review</v>
      </c>
      <c r="H100" s="7" t="str">
        <f aca="false">IF(AND(B100="Paid",ABS(F100)&gt;0.15,C100&gt;100),"High Priority Review","Standard")</f>
        <v>Standard</v>
      </c>
    </row>
    <row r="101" customFormat="false" ht="15" hidden="false" customHeight="false" outlineLevel="0" collapsed="false">
      <c r="A101" s="12" t="n">
        <f aca="false">Claims_Data!A101</f>
        <v>100100</v>
      </c>
      <c r="B101" s="12" t="str">
        <f aca="false">Claims_Data!J101</f>
        <v>Paid</v>
      </c>
      <c r="C101" s="13" t="n">
        <f aca="false">Claims_Data!G101</f>
        <v>176.22</v>
      </c>
      <c r="D101" s="13" t="n">
        <f aca="false">Claims_Data!H101</f>
        <v>117.59</v>
      </c>
      <c r="E101" s="13" t="n">
        <f aca="false">INDEX_MATCH_Analysis!H101</f>
        <v>118</v>
      </c>
      <c r="F101" s="17" t="n">
        <f aca="false">INDEX_MATCH_Analysis!J101</f>
        <v>-0.00347457627118641</v>
      </c>
      <c r="G101" s="7" t="str">
        <f aca="false">IF(B101="Denied","Denied - RCA Needed",IF(B101="Pending","Pending - No Action",IF(E101=0,"No Rate on File",IF(ABS(F101)&lt;=0.05,"Within Threshold",IF(D101&lt;E101,"Underpaid - Escalate","Overpaid - Review")))))</f>
        <v>Within Threshold</v>
      </c>
      <c r="H101" s="7" t="str">
        <f aca="false">IF(AND(B101="Paid",ABS(F101)&gt;0.15,C101&gt;100),"High Priority Review","Standard")</f>
        <v>Standard</v>
      </c>
    </row>
    <row r="102" customFormat="false" ht="15" hidden="false" customHeight="false" outlineLevel="0" collapsed="false">
      <c r="A102" s="12" t="n">
        <f aca="false">Claims_Data!A102</f>
        <v>100101</v>
      </c>
      <c r="B102" s="12" t="str">
        <f aca="false">Claims_Data!J102</f>
        <v>Paid</v>
      </c>
      <c r="C102" s="13" t="n">
        <f aca="false">Claims_Data!G102</f>
        <v>22.97</v>
      </c>
      <c r="D102" s="13" t="n">
        <f aca="false">Claims_Data!H102</f>
        <v>15.85</v>
      </c>
      <c r="E102" s="13" t="n">
        <f aca="false">INDEX_MATCH_Analysis!H102</f>
        <v>16</v>
      </c>
      <c r="F102" s="17" t="n">
        <f aca="false">INDEX_MATCH_Analysis!J102</f>
        <v>-0.00937500000000002</v>
      </c>
      <c r="G102" s="7" t="str">
        <f aca="false">IF(B102="Denied","Denied - RCA Needed",IF(B102="Pending","Pending - No Action",IF(E102=0,"No Rate on File",IF(ABS(F102)&lt;=0.05,"Within Threshold",IF(D102&lt;E102,"Underpaid - Escalate","Overpaid - Review")))))</f>
        <v>Within Threshold</v>
      </c>
      <c r="H102" s="7" t="str">
        <f aca="false">IF(AND(B102="Paid",ABS(F102)&gt;0.15,C102&gt;100),"High Priority Review","Standard")</f>
        <v>Standard</v>
      </c>
    </row>
    <row r="103" customFormat="false" ht="15" hidden="false" customHeight="false" outlineLevel="0" collapsed="false">
      <c r="A103" s="12" t="n">
        <f aca="false">Claims_Data!A103</f>
        <v>100102</v>
      </c>
      <c r="B103" s="12" t="str">
        <f aca="false">Claims_Data!J103</f>
        <v>Paid</v>
      </c>
      <c r="C103" s="13" t="n">
        <f aca="false">Claims_Data!G103</f>
        <v>237.61</v>
      </c>
      <c r="D103" s="13" t="n">
        <f aca="false">Claims_Data!H103</f>
        <v>187.89</v>
      </c>
      <c r="E103" s="13" t="n">
        <f aca="false">INDEX_MATCH_Analysis!H103</f>
        <v>183</v>
      </c>
      <c r="F103" s="17" t="n">
        <f aca="false">INDEX_MATCH_Analysis!J103</f>
        <v>0.0267213114754098</v>
      </c>
      <c r="G103" s="7" t="str">
        <f aca="false">IF(B103="Denied","Denied - RCA Needed",IF(B103="Pending","Pending - No Action",IF(E103=0,"No Rate on File",IF(ABS(F103)&lt;=0.05,"Within Threshold",IF(D103&lt;E103,"Underpaid - Escalate","Overpaid - Review")))))</f>
        <v>Within Threshold</v>
      </c>
      <c r="H103" s="7" t="str">
        <f aca="false">IF(AND(B103="Paid",ABS(F103)&gt;0.15,C103&gt;100),"High Priority Review","Standard")</f>
        <v>Standard</v>
      </c>
    </row>
    <row r="104" customFormat="false" ht="15" hidden="false" customHeight="false" outlineLevel="0" collapsed="false">
      <c r="A104" s="12" t="n">
        <f aca="false">Claims_Data!A104</f>
        <v>100103</v>
      </c>
      <c r="B104" s="12" t="str">
        <f aca="false">Claims_Data!J104</f>
        <v>Paid</v>
      </c>
      <c r="C104" s="13" t="n">
        <f aca="false">Claims_Data!G104</f>
        <v>183.22</v>
      </c>
      <c r="D104" s="13" t="n">
        <f aca="false">Claims_Data!H104</f>
        <v>126.58</v>
      </c>
      <c r="E104" s="13" t="n">
        <f aca="false">INDEX_MATCH_Analysis!H104</f>
        <v>145</v>
      </c>
      <c r="F104" s="17" t="n">
        <f aca="false">INDEX_MATCH_Analysis!J104</f>
        <v>-0.127034482758621</v>
      </c>
      <c r="G104" s="7" t="str">
        <f aca="false">IF(B104="Denied","Denied - RCA Needed",IF(B104="Pending","Pending - No Action",IF(E104=0,"No Rate on File",IF(ABS(F104)&lt;=0.05,"Within Threshold",IF(D104&lt;E104,"Underpaid - Escalate","Overpaid - Review")))))</f>
        <v>Underpaid - Escalate</v>
      </c>
      <c r="H104" s="7" t="str">
        <f aca="false">IF(AND(B104="Paid",ABS(F104)&gt;0.15,C104&gt;100),"High Priority Review","Standard")</f>
        <v>Standard</v>
      </c>
    </row>
    <row r="105" customFormat="false" ht="15" hidden="false" customHeight="false" outlineLevel="0" collapsed="false">
      <c r="A105" s="12" t="n">
        <f aca="false">Claims_Data!A105</f>
        <v>100104</v>
      </c>
      <c r="B105" s="12" t="str">
        <f aca="false">Claims_Data!J105</f>
        <v>Paid</v>
      </c>
      <c r="C105" s="13" t="n">
        <f aca="false">Claims_Data!G105</f>
        <v>145.66</v>
      </c>
      <c r="D105" s="13" t="n">
        <f aca="false">Claims_Data!H105</f>
        <v>97.36</v>
      </c>
      <c r="E105" s="13" t="n">
        <f aca="false">INDEX_MATCH_Analysis!H105</f>
        <v>118</v>
      </c>
      <c r="F105" s="17" t="n">
        <f aca="false">INDEX_MATCH_Analysis!J105</f>
        <v>-0.174915254237288</v>
      </c>
      <c r="G105" s="7" t="str">
        <f aca="false">IF(B105="Denied","Denied - RCA Needed",IF(B105="Pending","Pending - No Action",IF(E105=0,"No Rate on File",IF(ABS(F105)&lt;=0.05,"Within Threshold",IF(D105&lt;E105,"Underpaid - Escalate","Overpaid - Review")))))</f>
        <v>Underpaid - Escalate</v>
      </c>
      <c r="H105" s="7" t="str">
        <f aca="false">IF(AND(B105="Paid",ABS(F105)&gt;0.15,C105&gt;100),"High Priority Review","Standard")</f>
        <v>High Priority Review</v>
      </c>
    </row>
    <row r="106" customFormat="false" ht="15" hidden="false" customHeight="false" outlineLevel="0" collapsed="false">
      <c r="A106" s="12" t="n">
        <f aca="false">Claims_Data!A106</f>
        <v>100105</v>
      </c>
      <c r="B106" s="12" t="str">
        <f aca="false">Claims_Data!J106</f>
        <v>Paid</v>
      </c>
      <c r="C106" s="13" t="n">
        <f aca="false">Claims_Data!G106</f>
        <v>43.52</v>
      </c>
      <c r="D106" s="13" t="n">
        <f aca="false">Claims_Data!H106</f>
        <v>40.42</v>
      </c>
      <c r="E106" s="13" t="n">
        <f aca="false">INDEX_MATCH_Analysis!H106</f>
        <v>36</v>
      </c>
      <c r="F106" s="17" t="n">
        <f aca="false">INDEX_MATCH_Analysis!J106</f>
        <v>0.122777777777778</v>
      </c>
      <c r="G106" s="7" t="str">
        <f aca="false">IF(B106="Denied","Denied - RCA Needed",IF(B106="Pending","Pending - No Action",IF(E106=0,"No Rate on File",IF(ABS(F106)&lt;=0.05,"Within Threshold",IF(D106&lt;E106,"Underpaid - Escalate","Overpaid - Review")))))</f>
        <v>Overpaid - Review</v>
      </c>
      <c r="H106" s="7" t="str">
        <f aca="false">IF(AND(B106="Paid",ABS(F106)&gt;0.15,C106&gt;100),"High Priority Review","Standard")</f>
        <v>Standard</v>
      </c>
    </row>
    <row r="107" customFormat="false" ht="15" hidden="false" customHeight="false" outlineLevel="0" collapsed="false">
      <c r="A107" s="12" t="n">
        <f aca="false">Claims_Data!A107</f>
        <v>100106</v>
      </c>
      <c r="B107" s="12" t="str">
        <f aca="false">Claims_Data!J107</f>
        <v>Paid</v>
      </c>
      <c r="C107" s="13" t="n">
        <f aca="false">Claims_Data!G107</f>
        <v>164.95</v>
      </c>
      <c r="D107" s="13" t="n">
        <f aca="false">Claims_Data!H107</f>
        <v>121.49</v>
      </c>
      <c r="E107" s="13" t="n">
        <f aca="false">INDEX_MATCH_Analysis!H107</f>
        <v>118</v>
      </c>
      <c r="F107" s="17" t="n">
        <f aca="false">INDEX_MATCH_Analysis!J107</f>
        <v>0.0295762711864406</v>
      </c>
      <c r="G107" s="7" t="str">
        <f aca="false">IF(B107="Denied","Denied - RCA Needed",IF(B107="Pending","Pending - No Action",IF(E107=0,"No Rate on File",IF(ABS(F107)&lt;=0.05,"Within Threshold",IF(D107&lt;E107,"Underpaid - Escalate","Overpaid - Review")))))</f>
        <v>Within Threshold</v>
      </c>
      <c r="H107" s="7" t="str">
        <f aca="false">IF(AND(B107="Paid",ABS(F107)&gt;0.15,C107&gt;100),"High Priority Review","Standard")</f>
        <v>Standard</v>
      </c>
    </row>
    <row r="108" customFormat="false" ht="15" hidden="false" customHeight="false" outlineLevel="0" collapsed="false">
      <c r="A108" s="12" t="n">
        <f aca="false">Claims_Data!A108</f>
        <v>100107</v>
      </c>
      <c r="B108" s="12" t="str">
        <f aca="false">Claims_Data!J108</f>
        <v>Paid</v>
      </c>
      <c r="C108" s="13" t="n">
        <f aca="false">Claims_Data!G108</f>
        <v>251.49</v>
      </c>
      <c r="D108" s="13" t="n">
        <f aca="false">Claims_Data!H108</f>
        <v>180.51</v>
      </c>
      <c r="E108" s="13" t="n">
        <f aca="false">INDEX_MATCH_Analysis!H108</f>
        <v>183</v>
      </c>
      <c r="F108" s="17" t="n">
        <f aca="false">INDEX_MATCH_Analysis!J108</f>
        <v>-0.0136065573770492</v>
      </c>
      <c r="G108" s="7" t="str">
        <f aca="false">IF(B108="Denied","Denied - RCA Needed",IF(B108="Pending","Pending - No Action",IF(E108=0,"No Rate on File",IF(ABS(F108)&lt;=0.05,"Within Threshold",IF(D108&lt;E108,"Underpaid - Escalate","Overpaid - Review")))))</f>
        <v>Within Threshold</v>
      </c>
      <c r="H108" s="7" t="str">
        <f aca="false">IF(AND(B108="Paid",ABS(F108)&gt;0.15,C108&gt;100),"High Priority Review","Standard")</f>
        <v>Standard</v>
      </c>
    </row>
    <row r="109" customFormat="false" ht="15" hidden="false" customHeight="false" outlineLevel="0" collapsed="false">
      <c r="A109" s="12" t="n">
        <f aca="false">Claims_Data!A109</f>
        <v>100108</v>
      </c>
      <c r="B109" s="12" t="str">
        <f aca="false">Claims_Data!J109</f>
        <v>Paid</v>
      </c>
      <c r="C109" s="13" t="n">
        <f aca="false">Claims_Data!G109</f>
        <v>19.57</v>
      </c>
      <c r="D109" s="13" t="n">
        <f aca="false">Claims_Data!H109</f>
        <v>15.77</v>
      </c>
      <c r="E109" s="13" t="n">
        <f aca="false">INDEX_MATCH_Analysis!H109</f>
        <v>14</v>
      </c>
      <c r="F109" s="17" t="n">
        <f aca="false">INDEX_MATCH_Analysis!J109</f>
        <v>0.126428571428571</v>
      </c>
      <c r="G109" s="7" t="str">
        <f aca="false">IF(B109="Denied","Denied - RCA Needed",IF(B109="Pending","Pending - No Action",IF(E109=0,"No Rate on File",IF(ABS(F109)&lt;=0.05,"Within Threshold",IF(D109&lt;E109,"Underpaid - Escalate","Overpaid - Review")))))</f>
        <v>Overpaid - Review</v>
      </c>
      <c r="H109" s="7" t="str">
        <f aca="false">IF(AND(B109="Paid",ABS(F109)&gt;0.15,C109&gt;100),"High Priority Review","Standard")</f>
        <v>Standard</v>
      </c>
    </row>
    <row r="110" customFormat="false" ht="15" hidden="false" customHeight="false" outlineLevel="0" collapsed="false">
      <c r="A110" s="12" t="n">
        <f aca="false">Claims_Data!A110</f>
        <v>100109</v>
      </c>
      <c r="B110" s="12" t="str">
        <f aca="false">Claims_Data!J110</f>
        <v>Paid</v>
      </c>
      <c r="C110" s="13" t="n">
        <f aca="false">Claims_Data!G110</f>
        <v>16.94</v>
      </c>
      <c r="D110" s="13" t="n">
        <f aca="false">Claims_Data!H110</f>
        <v>12.61</v>
      </c>
      <c r="E110" s="13" t="n">
        <f aca="false">INDEX_MATCH_Analysis!H110</f>
        <v>13</v>
      </c>
      <c r="F110" s="17" t="n">
        <f aca="false">INDEX_MATCH_Analysis!J110</f>
        <v>-0.03</v>
      </c>
      <c r="G110" s="7" t="str">
        <f aca="false">IF(B110="Denied","Denied - RCA Needed",IF(B110="Pending","Pending - No Action",IF(E110=0,"No Rate on File",IF(ABS(F110)&lt;=0.05,"Within Threshold",IF(D110&lt;E110,"Underpaid - Escalate","Overpaid - Review")))))</f>
        <v>Within Threshold</v>
      </c>
      <c r="H110" s="7" t="str">
        <f aca="false">IF(AND(B110="Paid",ABS(F110)&gt;0.15,C110&gt;100),"High Priority Review","Standard")</f>
        <v>Standard</v>
      </c>
    </row>
    <row r="111" customFormat="false" ht="15" hidden="false" customHeight="false" outlineLevel="0" collapsed="false">
      <c r="A111" s="12" t="n">
        <f aca="false">Claims_Data!A111</f>
        <v>100110</v>
      </c>
      <c r="B111" s="12" t="str">
        <f aca="false">Claims_Data!J111</f>
        <v>Paid</v>
      </c>
      <c r="C111" s="13" t="n">
        <f aca="false">Claims_Data!G111</f>
        <v>19.49</v>
      </c>
      <c r="D111" s="13" t="n">
        <f aca="false">Claims_Data!H111</f>
        <v>14.04</v>
      </c>
      <c r="E111" s="13" t="n">
        <f aca="false">INDEX_MATCH_Analysis!H111</f>
        <v>14</v>
      </c>
      <c r="F111" s="17" t="n">
        <f aca="false">INDEX_MATCH_Analysis!J111</f>
        <v>0.0028571428571428</v>
      </c>
      <c r="G111" s="7" t="str">
        <f aca="false">IF(B111="Denied","Denied - RCA Needed",IF(B111="Pending","Pending - No Action",IF(E111=0,"No Rate on File",IF(ABS(F111)&lt;=0.05,"Within Threshold",IF(D111&lt;E111,"Underpaid - Escalate","Overpaid - Review")))))</f>
        <v>Within Threshold</v>
      </c>
      <c r="H111" s="7" t="str">
        <f aca="false">IF(AND(B111="Paid",ABS(F111)&gt;0.15,C111&gt;100),"High Priority Review","Standard")</f>
        <v>Standard</v>
      </c>
    </row>
    <row r="112" customFormat="false" ht="15" hidden="false" customHeight="false" outlineLevel="0" collapsed="false">
      <c r="A112" s="12" t="n">
        <f aca="false">Claims_Data!A112</f>
        <v>100111</v>
      </c>
      <c r="B112" s="12" t="str">
        <f aca="false">Claims_Data!J112</f>
        <v>Paid</v>
      </c>
      <c r="C112" s="13" t="n">
        <f aca="false">Claims_Data!G112</f>
        <v>104.14</v>
      </c>
      <c r="D112" s="13" t="n">
        <f aca="false">Claims_Data!H112</f>
        <v>52.45</v>
      </c>
      <c r="E112" s="13" t="n">
        <f aca="false">INDEX_MATCH_Analysis!H112</f>
        <v>74</v>
      </c>
      <c r="F112" s="17" t="n">
        <f aca="false">INDEX_MATCH_Analysis!J112</f>
        <v>-0.291216216216216</v>
      </c>
      <c r="G112" s="7" t="str">
        <f aca="false">IF(B112="Denied","Denied - RCA Needed",IF(B112="Pending","Pending - No Action",IF(E112=0,"No Rate on File",IF(ABS(F112)&lt;=0.05,"Within Threshold",IF(D112&lt;E112,"Underpaid - Escalate","Overpaid - Review")))))</f>
        <v>Underpaid - Escalate</v>
      </c>
      <c r="H112" s="7" t="str">
        <f aca="false">IF(AND(B112="Paid",ABS(F112)&gt;0.15,C112&gt;100),"High Priority Review","Standard")</f>
        <v>High Priority Review</v>
      </c>
    </row>
    <row r="113" customFormat="false" ht="15" hidden="false" customHeight="false" outlineLevel="0" collapsed="false">
      <c r="A113" s="12" t="n">
        <f aca="false">Claims_Data!A113</f>
        <v>100112</v>
      </c>
      <c r="B113" s="12" t="str">
        <f aca="false">Claims_Data!J113</f>
        <v>Paid</v>
      </c>
      <c r="C113" s="13" t="n">
        <f aca="false">Claims_Data!G113</f>
        <v>324</v>
      </c>
      <c r="D113" s="13" t="n">
        <f aca="false">Claims_Data!H113</f>
        <v>237.28</v>
      </c>
      <c r="E113" s="13" t="n">
        <f aca="false">INDEX_MATCH_Analysis!H113</f>
        <v>236</v>
      </c>
      <c r="F113" s="17" t="n">
        <f aca="false">INDEX_MATCH_Analysis!J113</f>
        <v>0.00542372881355933</v>
      </c>
      <c r="G113" s="7" t="str">
        <f aca="false">IF(B113="Denied","Denied - RCA Needed",IF(B113="Pending","Pending - No Action",IF(E113=0,"No Rate on File",IF(ABS(F113)&lt;=0.05,"Within Threshold",IF(D113&lt;E113,"Underpaid - Escalate","Overpaid - Review")))))</f>
        <v>Within Threshold</v>
      </c>
      <c r="H113" s="7" t="str">
        <f aca="false">IF(AND(B113="Paid",ABS(F113)&gt;0.15,C113&gt;100),"High Priority Review","Standard")</f>
        <v>Standard</v>
      </c>
    </row>
    <row r="114" customFormat="false" ht="15" hidden="false" customHeight="false" outlineLevel="0" collapsed="false">
      <c r="A114" s="12" t="n">
        <f aca="false">Claims_Data!A114</f>
        <v>100113</v>
      </c>
      <c r="B114" s="12" t="str">
        <f aca="false">Claims_Data!J114</f>
        <v>Paid</v>
      </c>
      <c r="C114" s="13" t="n">
        <f aca="false">Claims_Data!G114</f>
        <v>53.03</v>
      </c>
      <c r="D114" s="13" t="n">
        <f aca="false">Claims_Data!H114</f>
        <v>34.76</v>
      </c>
      <c r="E114" s="13" t="n">
        <f aca="false">INDEX_MATCH_Analysis!H114</f>
        <v>34</v>
      </c>
      <c r="F114" s="17" t="n">
        <f aca="false">INDEX_MATCH_Analysis!J114</f>
        <v>0.0223529411764705</v>
      </c>
      <c r="G114" s="7" t="str">
        <f aca="false">IF(B114="Denied","Denied - RCA Needed",IF(B114="Pending","Pending - No Action",IF(E114=0,"No Rate on File",IF(ABS(F114)&lt;=0.05,"Within Threshold",IF(D114&lt;E114,"Underpaid - Escalate","Overpaid - Review")))))</f>
        <v>Within Threshold</v>
      </c>
      <c r="H114" s="7" t="str">
        <f aca="false">IF(AND(B114="Paid",ABS(F114)&gt;0.15,C114&gt;100),"High Priority Review","Standard")</f>
        <v>Standard</v>
      </c>
    </row>
    <row r="115" customFormat="false" ht="15" hidden="false" customHeight="false" outlineLevel="0" collapsed="false">
      <c r="A115" s="12" t="n">
        <f aca="false">Claims_Data!A115</f>
        <v>100114</v>
      </c>
      <c r="B115" s="12" t="str">
        <f aca="false">Claims_Data!J115</f>
        <v>Paid</v>
      </c>
      <c r="C115" s="13" t="n">
        <f aca="false">Claims_Data!G115</f>
        <v>299.54</v>
      </c>
      <c r="D115" s="13" t="n">
        <f aca="false">Claims_Data!H115</f>
        <v>234.85</v>
      </c>
      <c r="E115" s="13" t="n">
        <f aca="false">INDEX_MATCH_Analysis!H115</f>
        <v>230</v>
      </c>
      <c r="F115" s="17" t="n">
        <f aca="false">INDEX_MATCH_Analysis!J115</f>
        <v>0.0210869565217391</v>
      </c>
      <c r="G115" s="7" t="str">
        <f aca="false">IF(B115="Denied","Denied - RCA Needed",IF(B115="Pending","Pending - No Action",IF(E115=0,"No Rate on File",IF(ABS(F115)&lt;=0.05,"Within Threshold",IF(D115&lt;E115,"Underpaid - Escalate","Overpaid - Review")))))</f>
        <v>Within Threshold</v>
      </c>
      <c r="H115" s="7" t="str">
        <f aca="false">IF(AND(B115="Paid",ABS(F115)&gt;0.15,C115&gt;100),"High Priority Review","Standard")</f>
        <v>Standard</v>
      </c>
    </row>
    <row r="116" customFormat="false" ht="15" hidden="false" customHeight="false" outlineLevel="0" collapsed="false">
      <c r="A116" s="12" t="n">
        <f aca="false">Claims_Data!A116</f>
        <v>100115</v>
      </c>
      <c r="B116" s="12" t="str">
        <f aca="false">Claims_Data!J116</f>
        <v>Paid</v>
      </c>
      <c r="C116" s="13" t="n">
        <f aca="false">Claims_Data!G116</f>
        <v>51.31</v>
      </c>
      <c r="D116" s="13" t="n">
        <f aca="false">Claims_Data!H116</f>
        <v>45.11</v>
      </c>
      <c r="E116" s="13" t="n">
        <f aca="false">INDEX_MATCH_Analysis!H116</f>
        <v>44</v>
      </c>
      <c r="F116" s="17" t="n">
        <f aca="false">INDEX_MATCH_Analysis!J116</f>
        <v>0.0252272727272727</v>
      </c>
      <c r="G116" s="7" t="str">
        <f aca="false">IF(B116="Denied","Denied - RCA Needed",IF(B116="Pending","Pending - No Action",IF(E116=0,"No Rate on File",IF(ABS(F116)&lt;=0.05,"Within Threshold",IF(D116&lt;E116,"Underpaid - Escalate","Overpaid - Review")))))</f>
        <v>Within Threshold</v>
      </c>
      <c r="H116" s="7" t="str">
        <f aca="false">IF(AND(B116="Paid",ABS(F116)&gt;0.15,C116&gt;100),"High Priority Review","Standard")</f>
        <v>Standard</v>
      </c>
    </row>
    <row r="117" customFormat="false" ht="15" hidden="false" customHeight="false" outlineLevel="0" collapsed="false">
      <c r="A117" s="12" t="n">
        <f aca="false">Claims_Data!A117</f>
        <v>100116</v>
      </c>
      <c r="B117" s="12" t="str">
        <f aca="false">Claims_Data!J117</f>
        <v>Paid</v>
      </c>
      <c r="C117" s="13" t="n">
        <f aca="false">Claims_Data!G117</f>
        <v>246.21</v>
      </c>
      <c r="D117" s="13" t="n">
        <f aca="false">Claims_Data!H117</f>
        <v>161.7</v>
      </c>
      <c r="E117" s="13" t="n">
        <f aca="false">INDEX_MATCH_Analysis!H117</f>
        <v>165</v>
      </c>
      <c r="F117" s="17" t="n">
        <f aca="false">INDEX_MATCH_Analysis!J117</f>
        <v>-0.0200000000000001</v>
      </c>
      <c r="G117" s="7" t="str">
        <f aca="false">IF(B117="Denied","Denied - RCA Needed",IF(B117="Pending","Pending - No Action",IF(E117=0,"No Rate on File",IF(ABS(F117)&lt;=0.05,"Within Threshold",IF(D117&lt;E117,"Underpaid - Escalate","Overpaid - Review")))))</f>
        <v>Within Threshold</v>
      </c>
      <c r="H117" s="7" t="str">
        <f aca="false">IF(AND(B117="Paid",ABS(F117)&gt;0.15,C117&gt;100),"High Priority Review","Standard")</f>
        <v>Standard</v>
      </c>
    </row>
    <row r="118" customFormat="false" ht="15" hidden="false" customHeight="false" outlineLevel="0" collapsed="false">
      <c r="A118" s="12" t="n">
        <f aca="false">Claims_Data!A118</f>
        <v>100117</v>
      </c>
      <c r="B118" s="12" t="str">
        <f aca="false">Claims_Data!J118</f>
        <v>Paid</v>
      </c>
      <c r="C118" s="13" t="n">
        <f aca="false">Claims_Data!G118</f>
        <v>218.7</v>
      </c>
      <c r="D118" s="13" t="n">
        <f aca="false">Claims_Data!H118</f>
        <v>141.92</v>
      </c>
      <c r="E118" s="13" t="n">
        <f aca="false">INDEX_MATCH_Analysis!H118</f>
        <v>145</v>
      </c>
      <c r="F118" s="17" t="n">
        <f aca="false">INDEX_MATCH_Analysis!J118</f>
        <v>-0.0212413793103449</v>
      </c>
      <c r="G118" s="7" t="str">
        <f aca="false">IF(B118="Denied","Denied - RCA Needed",IF(B118="Pending","Pending - No Action",IF(E118=0,"No Rate on File",IF(ABS(F118)&lt;=0.05,"Within Threshold",IF(D118&lt;E118,"Underpaid - Escalate","Overpaid - Review")))))</f>
        <v>Within Threshold</v>
      </c>
      <c r="H118" s="7" t="str">
        <f aca="false">IF(AND(B118="Paid",ABS(F118)&gt;0.15,C118&gt;100),"High Priority Review","Standard")</f>
        <v>Standard</v>
      </c>
    </row>
    <row r="119" customFormat="false" ht="15" hidden="false" customHeight="false" outlineLevel="0" collapsed="false">
      <c r="A119" s="12" t="n">
        <f aca="false">Claims_Data!A119</f>
        <v>100118</v>
      </c>
      <c r="B119" s="12" t="str">
        <f aca="false">Claims_Data!J119</f>
        <v>Paid</v>
      </c>
      <c r="C119" s="13" t="n">
        <f aca="false">Claims_Data!G119</f>
        <v>143.45</v>
      </c>
      <c r="D119" s="13" t="n">
        <f aca="false">Claims_Data!H119</f>
        <v>119.12</v>
      </c>
      <c r="E119" s="13" t="n">
        <f aca="false">INDEX_MATCH_Analysis!H119</f>
        <v>121</v>
      </c>
      <c r="F119" s="17" t="n">
        <f aca="false">INDEX_MATCH_Analysis!J119</f>
        <v>-0.0155371900826446</v>
      </c>
      <c r="G119" s="7" t="str">
        <f aca="false">IF(B119="Denied","Denied - RCA Needed",IF(B119="Pending","Pending - No Action",IF(E119=0,"No Rate on File",IF(ABS(F119)&lt;=0.05,"Within Threshold",IF(D119&lt;E119,"Underpaid - Escalate","Overpaid - Review")))))</f>
        <v>Within Threshold</v>
      </c>
      <c r="H119" s="7" t="str">
        <f aca="false">IF(AND(B119="Paid",ABS(F119)&gt;0.15,C119&gt;100),"High Priority Review","Standard")</f>
        <v>Standard</v>
      </c>
    </row>
    <row r="120" customFormat="false" ht="15" hidden="false" customHeight="false" outlineLevel="0" collapsed="false">
      <c r="A120" s="12" t="n">
        <f aca="false">Claims_Data!A120</f>
        <v>100119</v>
      </c>
      <c r="B120" s="12" t="str">
        <f aca="false">Claims_Data!J120</f>
        <v>Paid</v>
      </c>
      <c r="C120" s="13" t="n">
        <f aca="false">Claims_Data!G120</f>
        <v>312.07</v>
      </c>
      <c r="D120" s="13" t="n">
        <f aca="false">Claims_Data!H120</f>
        <v>257.55</v>
      </c>
      <c r="E120" s="13" t="n">
        <f aca="false">INDEX_MATCH_Analysis!H120</f>
        <v>230</v>
      </c>
      <c r="F120" s="17" t="n">
        <f aca="false">INDEX_MATCH_Analysis!J120</f>
        <v>0.119782608695652</v>
      </c>
      <c r="G120" s="7" t="str">
        <f aca="false">IF(B120="Denied","Denied - RCA Needed",IF(B120="Pending","Pending - No Action",IF(E120=0,"No Rate on File",IF(ABS(F120)&lt;=0.05,"Within Threshold",IF(D120&lt;E120,"Underpaid - Escalate","Overpaid - Review")))))</f>
        <v>Overpaid - Review</v>
      </c>
      <c r="H120" s="7" t="str">
        <f aca="false">IF(AND(B120="Paid",ABS(F120)&gt;0.15,C120&gt;100),"High Priority Review","Standard")</f>
        <v>Standard</v>
      </c>
    </row>
    <row r="121" customFormat="false" ht="15" hidden="false" customHeight="false" outlineLevel="0" collapsed="false">
      <c r="A121" s="12" t="n">
        <f aca="false">Claims_Data!A121</f>
        <v>100120</v>
      </c>
      <c r="B121" s="12" t="str">
        <f aca="false">Claims_Data!J121</f>
        <v>Pending</v>
      </c>
      <c r="C121" s="13" t="n">
        <f aca="false">Claims_Data!G121</f>
        <v>33.08</v>
      </c>
      <c r="D121" s="13" t="n">
        <f aca="false">Claims_Data!H121</f>
        <v>0</v>
      </c>
      <c r="E121" s="13" t="n">
        <f aca="false">INDEX_MATCH_Analysis!H121</f>
        <v>21</v>
      </c>
      <c r="F121" s="17" t="n">
        <f aca="false">INDEX_MATCH_Analysis!J121</f>
        <v>-1</v>
      </c>
      <c r="G121" s="7" t="str">
        <f aca="false">IF(B121="Denied","Denied - RCA Needed",IF(B121="Pending","Pending - No Action",IF(E121=0,"No Rate on File",IF(ABS(F121)&lt;=0.05,"Within Threshold",IF(D121&lt;E121,"Underpaid - Escalate","Overpaid - Review")))))</f>
        <v>Pending - No Action</v>
      </c>
      <c r="H121" s="7" t="str">
        <f aca="false">IF(AND(B121="Paid",ABS(F121)&gt;0.15,C121&gt;100),"High Priority Review","Standard")</f>
        <v>Standard</v>
      </c>
    </row>
    <row r="122" customFormat="false" ht="15" hidden="false" customHeight="false" outlineLevel="0" collapsed="false">
      <c r="A122" s="12" t="n">
        <f aca="false">Claims_Data!A122</f>
        <v>100121</v>
      </c>
      <c r="B122" s="12" t="str">
        <f aca="false">Claims_Data!J122</f>
        <v>Paid</v>
      </c>
      <c r="C122" s="13" t="n">
        <f aca="false">Claims_Data!G122</f>
        <v>33.67</v>
      </c>
      <c r="D122" s="13" t="n">
        <f aca="false">Claims_Data!H122</f>
        <v>21.98</v>
      </c>
      <c r="E122" s="13" t="n">
        <f aca="false">INDEX_MATCH_Analysis!H122</f>
        <v>22</v>
      </c>
      <c r="F122" s="17" t="n">
        <f aca="false">INDEX_MATCH_Analysis!J122</f>
        <v>-0.00090909090909089</v>
      </c>
      <c r="G122" s="7" t="str">
        <f aca="false">IF(B122="Denied","Denied - RCA Needed",IF(B122="Pending","Pending - No Action",IF(E122=0,"No Rate on File",IF(ABS(F122)&lt;=0.05,"Within Threshold",IF(D122&lt;E122,"Underpaid - Escalate","Overpaid - Review")))))</f>
        <v>Within Threshold</v>
      </c>
      <c r="H122" s="7" t="str">
        <f aca="false">IF(AND(B122="Paid",ABS(F122)&gt;0.15,C122&gt;100),"High Priority Review","Standard")</f>
        <v>Standard</v>
      </c>
    </row>
    <row r="123" customFormat="false" ht="15" hidden="false" customHeight="false" outlineLevel="0" collapsed="false">
      <c r="A123" s="12" t="n">
        <f aca="false">Claims_Data!A123</f>
        <v>100122</v>
      </c>
      <c r="B123" s="12" t="str">
        <f aca="false">Claims_Data!J123</f>
        <v>Pending</v>
      </c>
      <c r="C123" s="13" t="n">
        <f aca="false">Claims_Data!G123</f>
        <v>263.42</v>
      </c>
      <c r="D123" s="13" t="n">
        <f aca="false">Claims_Data!H123</f>
        <v>0</v>
      </c>
      <c r="E123" s="13" t="n">
        <f aca="false">INDEX_MATCH_Analysis!H123</f>
        <v>187</v>
      </c>
      <c r="F123" s="17" t="n">
        <f aca="false">INDEX_MATCH_Analysis!J123</f>
        <v>-1</v>
      </c>
      <c r="G123" s="7" t="str">
        <f aca="false">IF(B123="Denied","Denied - RCA Needed",IF(B123="Pending","Pending - No Action",IF(E123=0,"No Rate on File",IF(ABS(F123)&lt;=0.05,"Within Threshold",IF(D123&lt;E123,"Underpaid - Escalate","Overpaid - Review")))))</f>
        <v>Pending - No Action</v>
      </c>
      <c r="H123" s="7" t="str">
        <f aca="false">IF(AND(B123="Paid",ABS(F123)&gt;0.15,C123&gt;100),"High Priority Review","Standard")</f>
        <v>Standard</v>
      </c>
    </row>
    <row r="124" customFormat="false" ht="15" hidden="false" customHeight="false" outlineLevel="0" collapsed="false">
      <c r="A124" s="12" t="n">
        <f aca="false">Claims_Data!A124</f>
        <v>100123</v>
      </c>
      <c r="B124" s="12" t="str">
        <f aca="false">Claims_Data!J124</f>
        <v>Paid</v>
      </c>
      <c r="C124" s="13" t="n">
        <f aca="false">Claims_Data!G124</f>
        <v>265.34</v>
      </c>
      <c r="D124" s="13" t="n">
        <f aca="false">Claims_Data!H124</f>
        <v>205.79</v>
      </c>
      <c r="E124" s="13" t="n">
        <f aca="false">INDEX_MATCH_Analysis!H124</f>
        <v>230</v>
      </c>
      <c r="F124" s="17" t="n">
        <f aca="false">INDEX_MATCH_Analysis!J124</f>
        <v>-0.105260869565217</v>
      </c>
      <c r="G124" s="7" t="str">
        <f aca="false">IF(B124="Denied","Denied - RCA Needed",IF(B124="Pending","Pending - No Action",IF(E124=0,"No Rate on File",IF(ABS(F124)&lt;=0.05,"Within Threshold",IF(D124&lt;E124,"Underpaid - Escalate","Overpaid - Review")))))</f>
        <v>Underpaid - Escalate</v>
      </c>
      <c r="H124" s="7" t="str">
        <f aca="false">IF(AND(B124="Paid",ABS(F124)&gt;0.15,C124&gt;100),"High Priority Review","Standard")</f>
        <v>Standard</v>
      </c>
    </row>
    <row r="125" customFormat="false" ht="15" hidden="false" customHeight="false" outlineLevel="0" collapsed="false">
      <c r="A125" s="12" t="n">
        <f aca="false">Claims_Data!A125</f>
        <v>100124</v>
      </c>
      <c r="B125" s="12" t="str">
        <f aca="false">Claims_Data!J125</f>
        <v>Paid</v>
      </c>
      <c r="C125" s="13" t="n">
        <f aca="false">Claims_Data!G125</f>
        <v>48.35</v>
      </c>
      <c r="D125" s="13" t="n">
        <f aca="false">Claims_Data!H125</f>
        <v>31.52</v>
      </c>
      <c r="E125" s="13" t="n">
        <f aca="false">INDEX_MATCH_Analysis!H125</f>
        <v>32</v>
      </c>
      <c r="F125" s="17" t="n">
        <f aca="false">INDEX_MATCH_Analysis!J125</f>
        <v>-0.015</v>
      </c>
      <c r="G125" s="7" t="str">
        <f aca="false">IF(B125="Denied","Denied - RCA Needed",IF(B125="Pending","Pending - No Action",IF(E125=0,"No Rate on File",IF(ABS(F125)&lt;=0.05,"Within Threshold",IF(D125&lt;E125,"Underpaid - Escalate","Overpaid - Review")))))</f>
        <v>Within Threshold</v>
      </c>
      <c r="H125" s="7" t="str">
        <f aca="false">IF(AND(B125="Paid",ABS(F125)&gt;0.15,C125&gt;100),"High Priority Review","Standard")</f>
        <v>Standard</v>
      </c>
    </row>
    <row r="126" customFormat="false" ht="15" hidden="false" customHeight="false" outlineLevel="0" collapsed="false">
      <c r="A126" s="12" t="n">
        <f aca="false">Claims_Data!A126</f>
        <v>100125</v>
      </c>
      <c r="B126" s="12" t="str">
        <f aca="false">Claims_Data!J126</f>
        <v>Paid</v>
      </c>
      <c r="C126" s="13" t="n">
        <f aca="false">Claims_Data!G126</f>
        <v>267.87</v>
      </c>
      <c r="D126" s="13" t="n">
        <f aca="false">Claims_Data!H126</f>
        <v>174.06</v>
      </c>
      <c r="E126" s="13" t="n">
        <f aca="false">INDEX_MATCH_Analysis!H126</f>
        <v>178</v>
      </c>
      <c r="F126" s="17" t="n">
        <f aca="false">INDEX_MATCH_Analysis!J126</f>
        <v>-0.0221348314606741</v>
      </c>
      <c r="G126" s="7" t="str">
        <f aca="false">IF(B126="Denied","Denied - RCA Needed",IF(B126="Pending","Pending - No Action",IF(E126=0,"No Rate on File",IF(ABS(F126)&lt;=0.05,"Within Threshold",IF(D126&lt;E126,"Underpaid - Escalate","Overpaid - Review")))))</f>
        <v>Within Threshold</v>
      </c>
      <c r="H126" s="7" t="str">
        <f aca="false">IF(AND(B126="Paid",ABS(F126)&gt;0.15,C126&gt;100),"High Priority Review","Standard")</f>
        <v>Standard</v>
      </c>
    </row>
    <row r="127" customFormat="false" ht="15" hidden="false" customHeight="false" outlineLevel="0" collapsed="false">
      <c r="A127" s="12" t="n">
        <f aca="false">Claims_Data!A127</f>
        <v>100126</v>
      </c>
      <c r="B127" s="12" t="str">
        <f aca="false">Claims_Data!J127</f>
        <v>Paid</v>
      </c>
      <c r="C127" s="13" t="n">
        <f aca="false">Claims_Data!G127</f>
        <v>292.72</v>
      </c>
      <c r="D127" s="13" t="n">
        <f aca="false">Claims_Data!H127</f>
        <v>260.75</v>
      </c>
      <c r="E127" s="13" t="n">
        <f aca="false">INDEX_MATCH_Analysis!H127</f>
        <v>236</v>
      </c>
      <c r="F127" s="17" t="n">
        <f aca="false">INDEX_MATCH_Analysis!J127</f>
        <v>0.104872881355932</v>
      </c>
      <c r="G127" s="7" t="str">
        <f aca="false">IF(B127="Denied","Denied - RCA Needed",IF(B127="Pending","Pending - No Action",IF(E127=0,"No Rate on File",IF(ABS(F127)&lt;=0.05,"Within Threshold",IF(D127&lt;E127,"Underpaid - Escalate","Overpaid - Review")))))</f>
        <v>Overpaid - Review</v>
      </c>
      <c r="H127" s="7" t="str">
        <f aca="false">IF(AND(B127="Paid",ABS(F127)&gt;0.15,C127&gt;100),"High Priority Review","Standard")</f>
        <v>Standard</v>
      </c>
    </row>
    <row r="128" customFormat="false" ht="15" hidden="false" customHeight="false" outlineLevel="0" collapsed="false">
      <c r="A128" s="12" t="n">
        <f aca="false">Claims_Data!A128</f>
        <v>100127</v>
      </c>
      <c r="B128" s="12" t="str">
        <f aca="false">Claims_Data!J128</f>
        <v>Denied</v>
      </c>
      <c r="C128" s="13" t="n">
        <f aca="false">Claims_Data!G128</f>
        <v>184.24</v>
      </c>
      <c r="D128" s="13" t="n">
        <f aca="false">Claims_Data!H128</f>
        <v>0</v>
      </c>
      <c r="E128" s="13" t="n">
        <f aca="false">INDEX_MATCH_Analysis!H128</f>
        <v>118</v>
      </c>
      <c r="F128" s="17" t="n">
        <f aca="false">INDEX_MATCH_Analysis!J128</f>
        <v>-1</v>
      </c>
      <c r="G128" s="7" t="str">
        <f aca="false">IF(B128="Denied","Denied - RCA Needed",IF(B128="Pending","Pending - No Action",IF(E128=0,"No Rate on File",IF(ABS(F128)&lt;=0.05,"Within Threshold",IF(D128&lt;E128,"Underpaid - Escalate","Overpaid - Review")))))</f>
        <v>Denied - RCA Needed</v>
      </c>
      <c r="H128" s="7" t="str">
        <f aca="false">IF(AND(B128="Paid",ABS(F128)&gt;0.15,C128&gt;100),"High Priority Review","Standard")</f>
        <v>Standard</v>
      </c>
    </row>
    <row r="129" customFormat="false" ht="15" hidden="false" customHeight="false" outlineLevel="0" collapsed="false">
      <c r="A129" s="12" t="n">
        <f aca="false">Claims_Data!A129</f>
        <v>100128</v>
      </c>
      <c r="B129" s="12" t="str">
        <f aca="false">Claims_Data!J129</f>
        <v>Denied</v>
      </c>
      <c r="C129" s="13" t="n">
        <f aca="false">Claims_Data!G129</f>
        <v>200.2</v>
      </c>
      <c r="D129" s="13" t="n">
        <f aca="false">Claims_Data!H129</f>
        <v>0</v>
      </c>
      <c r="E129" s="13" t="n">
        <f aca="false">INDEX_MATCH_Analysis!H129</f>
        <v>165</v>
      </c>
      <c r="F129" s="17" t="n">
        <f aca="false">INDEX_MATCH_Analysis!J129</f>
        <v>-1</v>
      </c>
      <c r="G129" s="7" t="str">
        <f aca="false">IF(B129="Denied","Denied - RCA Needed",IF(B129="Pending","Pending - No Action",IF(E129=0,"No Rate on File",IF(ABS(F129)&lt;=0.05,"Within Threshold",IF(D129&lt;E129,"Underpaid - Escalate","Overpaid - Review")))))</f>
        <v>Denied - RCA Needed</v>
      </c>
      <c r="H129" s="7" t="str">
        <f aca="false">IF(AND(B129="Paid",ABS(F129)&gt;0.15,C129&gt;100),"High Priority Review","Standard")</f>
        <v>Standard</v>
      </c>
    </row>
    <row r="130" customFormat="false" ht="15" hidden="false" customHeight="false" outlineLevel="0" collapsed="false">
      <c r="A130" s="12" t="n">
        <f aca="false">Claims_Data!A130</f>
        <v>100129</v>
      </c>
      <c r="B130" s="12" t="str">
        <f aca="false">Claims_Data!J130</f>
        <v>Paid</v>
      </c>
      <c r="C130" s="13" t="n">
        <f aca="false">Claims_Data!G130</f>
        <v>149.74</v>
      </c>
      <c r="D130" s="13" t="n">
        <f aca="false">Claims_Data!H130</f>
        <v>119.76</v>
      </c>
      <c r="E130" s="13" t="n">
        <f aca="false">INDEX_MATCH_Analysis!H130</f>
        <v>118</v>
      </c>
      <c r="F130" s="17" t="n">
        <f aca="false">INDEX_MATCH_Analysis!J130</f>
        <v>0.0149152542372882</v>
      </c>
      <c r="G130" s="7" t="str">
        <f aca="false">IF(B130="Denied","Denied - RCA Needed",IF(B130="Pending","Pending - No Action",IF(E130=0,"No Rate on File",IF(ABS(F130)&lt;=0.05,"Within Threshold",IF(D130&lt;E130,"Underpaid - Escalate","Overpaid - Review")))))</f>
        <v>Within Threshold</v>
      </c>
      <c r="H130" s="7" t="str">
        <f aca="false">IF(AND(B130="Paid",ABS(F130)&gt;0.15,C130&gt;100),"High Priority Review","Standard")</f>
        <v>Standard</v>
      </c>
    </row>
    <row r="131" customFormat="false" ht="15" hidden="false" customHeight="false" outlineLevel="0" collapsed="false">
      <c r="A131" s="12" t="n">
        <f aca="false">Claims_Data!A131</f>
        <v>100130</v>
      </c>
      <c r="B131" s="12" t="str">
        <f aca="false">Claims_Data!J131</f>
        <v>Paid</v>
      </c>
      <c r="C131" s="13" t="n">
        <f aca="false">Claims_Data!G131</f>
        <v>199.15</v>
      </c>
      <c r="D131" s="13" t="n">
        <f aca="false">Claims_Data!H131</f>
        <v>140.64</v>
      </c>
      <c r="E131" s="13" t="n">
        <f aca="false">INDEX_MATCH_Analysis!H131</f>
        <v>137</v>
      </c>
      <c r="F131" s="17" t="n">
        <f aca="false">INDEX_MATCH_Analysis!J131</f>
        <v>0.0265693430656933</v>
      </c>
      <c r="G131" s="7" t="str">
        <f aca="false">IF(B131="Denied","Denied - RCA Needed",IF(B131="Pending","Pending - No Action",IF(E131=0,"No Rate on File",IF(ABS(F131)&lt;=0.05,"Within Threshold",IF(D131&lt;E131,"Underpaid - Escalate","Overpaid - Review")))))</f>
        <v>Within Threshold</v>
      </c>
      <c r="H131" s="7" t="str">
        <f aca="false">IF(AND(B131="Paid",ABS(F131)&gt;0.15,C131&gt;100),"High Priority Review","Standard")</f>
        <v>Standard</v>
      </c>
    </row>
    <row r="132" customFormat="false" ht="15" hidden="false" customHeight="false" outlineLevel="0" collapsed="false">
      <c r="A132" s="12" t="n">
        <f aca="false">Claims_Data!A132</f>
        <v>100131</v>
      </c>
      <c r="B132" s="12" t="str">
        <f aca="false">Claims_Data!J132</f>
        <v>Paid</v>
      </c>
      <c r="C132" s="13" t="n">
        <f aca="false">Claims_Data!G132</f>
        <v>32.74</v>
      </c>
      <c r="D132" s="13" t="n">
        <f aca="false">Claims_Data!H132</f>
        <v>20.55</v>
      </c>
      <c r="E132" s="13" t="n">
        <f aca="false">INDEX_MATCH_Analysis!H132</f>
        <v>21</v>
      </c>
      <c r="F132" s="17" t="n">
        <f aca="false">INDEX_MATCH_Analysis!J132</f>
        <v>-0.0214285714285714</v>
      </c>
      <c r="G132" s="7" t="str">
        <f aca="false">IF(B132="Denied","Denied - RCA Needed",IF(B132="Pending","Pending - No Action",IF(E132=0,"No Rate on File",IF(ABS(F132)&lt;=0.05,"Within Threshold",IF(D132&lt;E132,"Underpaid - Escalate","Overpaid - Review")))))</f>
        <v>Within Threshold</v>
      </c>
      <c r="H132" s="7" t="str">
        <f aca="false">IF(AND(B132="Paid",ABS(F132)&gt;0.15,C132&gt;100),"High Priority Review","Standard")</f>
        <v>Standard</v>
      </c>
    </row>
    <row r="133" customFormat="false" ht="15" hidden="false" customHeight="false" outlineLevel="0" collapsed="false">
      <c r="A133" s="12" t="n">
        <f aca="false">Claims_Data!A133</f>
        <v>100132</v>
      </c>
      <c r="B133" s="12" t="str">
        <f aca="false">Claims_Data!J133</f>
        <v>Paid</v>
      </c>
      <c r="C133" s="13" t="n">
        <f aca="false">Claims_Data!G133</f>
        <v>196.97</v>
      </c>
      <c r="D133" s="13" t="n">
        <f aca="false">Claims_Data!H133</f>
        <v>164.54</v>
      </c>
      <c r="E133" s="13" t="n">
        <f aca="false">INDEX_MATCH_Analysis!H133</f>
        <v>165</v>
      </c>
      <c r="F133" s="17" t="n">
        <f aca="false">INDEX_MATCH_Analysis!J133</f>
        <v>-0.00278787878787884</v>
      </c>
      <c r="G133" s="7" t="str">
        <f aca="false">IF(B133="Denied","Denied - RCA Needed",IF(B133="Pending","Pending - No Action",IF(E133=0,"No Rate on File",IF(ABS(F133)&lt;=0.05,"Within Threshold",IF(D133&lt;E133,"Underpaid - Escalate","Overpaid - Review")))))</f>
        <v>Within Threshold</v>
      </c>
      <c r="H133" s="7" t="str">
        <f aca="false">IF(AND(B133="Paid",ABS(F133)&gt;0.15,C133&gt;100),"High Priority Review","Standard")</f>
        <v>Standard</v>
      </c>
    </row>
    <row r="134" customFormat="false" ht="15" hidden="false" customHeight="false" outlineLevel="0" collapsed="false">
      <c r="A134" s="12" t="n">
        <f aca="false">Claims_Data!A134</f>
        <v>100133</v>
      </c>
      <c r="B134" s="12" t="str">
        <f aca="false">Claims_Data!J134</f>
        <v>Paid</v>
      </c>
      <c r="C134" s="13" t="n">
        <f aca="false">Claims_Data!G134</f>
        <v>251.65</v>
      </c>
      <c r="D134" s="13" t="n">
        <f aca="false">Claims_Data!H134</f>
        <v>180.17</v>
      </c>
      <c r="E134" s="13" t="n">
        <f aca="false">INDEX_MATCH_Analysis!H134</f>
        <v>165</v>
      </c>
      <c r="F134" s="17" t="n">
        <f aca="false">INDEX_MATCH_Analysis!J134</f>
        <v>0.0919393939393939</v>
      </c>
      <c r="G134" s="7" t="str">
        <f aca="false">IF(B134="Denied","Denied - RCA Needed",IF(B134="Pending","Pending - No Action",IF(E134=0,"No Rate on File",IF(ABS(F134)&lt;=0.05,"Within Threshold",IF(D134&lt;E134,"Underpaid - Escalate","Overpaid - Review")))))</f>
        <v>Overpaid - Review</v>
      </c>
      <c r="H134" s="7" t="str">
        <f aca="false">IF(AND(B134="Paid",ABS(F134)&gt;0.15,C134&gt;100),"High Priority Review","Standard")</f>
        <v>Standard</v>
      </c>
    </row>
    <row r="135" customFormat="false" ht="15" hidden="false" customHeight="false" outlineLevel="0" collapsed="false">
      <c r="A135" s="12" t="n">
        <f aca="false">Claims_Data!A135</f>
        <v>100134</v>
      </c>
      <c r="B135" s="12" t="str">
        <f aca="false">Claims_Data!J135</f>
        <v>Paid</v>
      </c>
      <c r="C135" s="13" t="n">
        <f aca="false">Claims_Data!G135</f>
        <v>42.6</v>
      </c>
      <c r="D135" s="13" t="n">
        <f aca="false">Claims_Data!H135</f>
        <v>27.3</v>
      </c>
      <c r="E135" s="13" t="n">
        <f aca="false">INDEX_MATCH_Analysis!H135</f>
        <v>27</v>
      </c>
      <c r="F135" s="17" t="n">
        <f aca="false">INDEX_MATCH_Analysis!J135</f>
        <v>0.0111111111111111</v>
      </c>
      <c r="G135" s="7" t="str">
        <f aca="false">IF(B135="Denied","Denied - RCA Needed",IF(B135="Pending","Pending - No Action",IF(E135=0,"No Rate on File",IF(ABS(F135)&lt;=0.05,"Within Threshold",IF(D135&lt;E135,"Underpaid - Escalate","Overpaid - Review")))))</f>
        <v>Within Threshold</v>
      </c>
      <c r="H135" s="7" t="str">
        <f aca="false">IF(AND(B135="Paid",ABS(F135)&gt;0.15,C135&gt;100),"High Priority Review","Standard")</f>
        <v>Standard</v>
      </c>
    </row>
    <row r="136" customFormat="false" ht="15" hidden="false" customHeight="false" outlineLevel="0" collapsed="false">
      <c r="A136" s="12" t="n">
        <f aca="false">Claims_Data!A136</f>
        <v>100135</v>
      </c>
      <c r="B136" s="12" t="str">
        <f aca="false">Claims_Data!J136</f>
        <v>Paid</v>
      </c>
      <c r="C136" s="13" t="n">
        <f aca="false">Claims_Data!G136</f>
        <v>284.15</v>
      </c>
      <c r="D136" s="13" t="n">
        <f aca="false">Claims_Data!H136</f>
        <v>181.92</v>
      </c>
      <c r="E136" s="13" t="n">
        <f aca="false">INDEX_MATCH_Analysis!H136</f>
        <v>230</v>
      </c>
      <c r="F136" s="17" t="n">
        <f aca="false">INDEX_MATCH_Analysis!J136</f>
        <v>-0.20904347826087</v>
      </c>
      <c r="G136" s="7" t="str">
        <f aca="false">IF(B136="Denied","Denied - RCA Needed",IF(B136="Pending","Pending - No Action",IF(E136=0,"No Rate on File",IF(ABS(F136)&lt;=0.05,"Within Threshold",IF(D136&lt;E136,"Underpaid - Escalate","Overpaid - Review")))))</f>
        <v>Underpaid - Escalate</v>
      </c>
      <c r="H136" s="7" t="str">
        <f aca="false">IF(AND(B136="Paid",ABS(F136)&gt;0.15,C136&gt;100),"High Priority Review","Standard")</f>
        <v>High Priority Review</v>
      </c>
    </row>
    <row r="137" customFormat="false" ht="15" hidden="false" customHeight="false" outlineLevel="0" collapsed="false">
      <c r="A137" s="12" t="n">
        <f aca="false">Claims_Data!A137</f>
        <v>100136</v>
      </c>
      <c r="B137" s="12" t="str">
        <f aca="false">Claims_Data!J137</f>
        <v>Paid</v>
      </c>
      <c r="C137" s="13" t="n">
        <f aca="false">Claims_Data!G137</f>
        <v>182.64</v>
      </c>
      <c r="D137" s="13" t="n">
        <f aca="false">Claims_Data!H137</f>
        <v>141.25</v>
      </c>
      <c r="E137" s="13" t="n">
        <f aca="false">INDEX_MATCH_Analysis!H137</f>
        <v>145</v>
      </c>
      <c r="F137" s="17" t="n">
        <f aca="false">INDEX_MATCH_Analysis!J137</f>
        <v>-0.0258620689655172</v>
      </c>
      <c r="G137" s="7" t="str">
        <f aca="false">IF(B137="Denied","Denied - RCA Needed",IF(B137="Pending","Pending - No Action",IF(E137=0,"No Rate on File",IF(ABS(F137)&lt;=0.05,"Within Threshold",IF(D137&lt;E137,"Underpaid - Escalate","Overpaid - Review")))))</f>
        <v>Within Threshold</v>
      </c>
      <c r="H137" s="7" t="str">
        <f aca="false">IF(AND(B137="Paid",ABS(F137)&gt;0.15,C137&gt;100),"High Priority Review","Standard")</f>
        <v>Standard</v>
      </c>
    </row>
    <row r="138" customFormat="false" ht="15" hidden="false" customHeight="false" outlineLevel="0" collapsed="false">
      <c r="A138" s="12" t="n">
        <f aca="false">Claims_Data!A138</f>
        <v>100137</v>
      </c>
      <c r="B138" s="12" t="str">
        <f aca="false">Claims_Data!J138</f>
        <v>Paid</v>
      </c>
      <c r="C138" s="13" t="n">
        <f aca="false">Claims_Data!G138</f>
        <v>143.85</v>
      </c>
      <c r="D138" s="13" t="n">
        <f aca="false">Claims_Data!H138</f>
        <v>94.72</v>
      </c>
      <c r="E138" s="13" t="n">
        <f aca="false">INDEX_MATCH_Analysis!H138</f>
        <v>96</v>
      </c>
      <c r="F138" s="17" t="n">
        <f aca="false">INDEX_MATCH_Analysis!J138</f>
        <v>-0.0133333333333333</v>
      </c>
      <c r="G138" s="7" t="str">
        <f aca="false">IF(B138="Denied","Denied - RCA Needed",IF(B138="Pending","Pending - No Action",IF(E138=0,"No Rate on File",IF(ABS(F138)&lt;=0.05,"Within Threshold",IF(D138&lt;E138,"Underpaid - Escalate","Overpaid - Review")))))</f>
        <v>Within Threshold</v>
      </c>
      <c r="H138" s="7" t="str">
        <f aca="false">IF(AND(B138="Paid",ABS(F138)&gt;0.15,C138&gt;100),"High Priority Review","Standard")</f>
        <v>Standard</v>
      </c>
    </row>
    <row r="139" customFormat="false" ht="15" hidden="false" customHeight="false" outlineLevel="0" collapsed="false">
      <c r="A139" s="12" t="n">
        <f aca="false">Claims_Data!A139</f>
        <v>100138</v>
      </c>
      <c r="B139" s="12" t="str">
        <f aca="false">Claims_Data!J139</f>
        <v>Paid</v>
      </c>
      <c r="C139" s="13" t="n">
        <f aca="false">Claims_Data!G139</f>
        <v>347.15</v>
      </c>
      <c r="D139" s="13" t="n">
        <f aca="false">Claims_Data!H139</f>
        <v>246.05</v>
      </c>
      <c r="E139" s="13" t="n">
        <f aca="false">INDEX_MATCH_Analysis!H139</f>
        <v>230</v>
      </c>
      <c r="F139" s="17" t="n">
        <f aca="false">INDEX_MATCH_Analysis!J139</f>
        <v>0.0697826086956522</v>
      </c>
      <c r="G139" s="7" t="str">
        <f aca="false">IF(B139="Denied","Denied - RCA Needed",IF(B139="Pending","Pending - No Action",IF(E139=0,"No Rate on File",IF(ABS(F139)&lt;=0.05,"Within Threshold",IF(D139&lt;E139,"Underpaid - Escalate","Overpaid - Review")))))</f>
        <v>Overpaid - Review</v>
      </c>
      <c r="H139" s="7" t="str">
        <f aca="false">IF(AND(B139="Paid",ABS(F139)&gt;0.15,C139&gt;100),"High Priority Review","Standard")</f>
        <v>Standard</v>
      </c>
    </row>
    <row r="140" customFormat="false" ht="15" hidden="false" customHeight="false" outlineLevel="0" collapsed="false">
      <c r="A140" s="12" t="n">
        <f aca="false">Claims_Data!A140</f>
        <v>100139</v>
      </c>
      <c r="B140" s="12" t="str">
        <f aca="false">Claims_Data!J140</f>
        <v>Paid</v>
      </c>
      <c r="C140" s="13" t="n">
        <f aca="false">Claims_Data!G140</f>
        <v>216.38</v>
      </c>
      <c r="D140" s="13" t="n">
        <f aca="false">Claims_Data!H140</f>
        <v>186.11</v>
      </c>
      <c r="E140" s="13" t="n">
        <f aca="false">INDEX_MATCH_Analysis!H140</f>
        <v>187</v>
      </c>
      <c r="F140" s="17" t="n">
        <f aca="false">INDEX_MATCH_Analysis!J140</f>
        <v>-0.00475935828876998</v>
      </c>
      <c r="G140" s="7" t="str">
        <f aca="false">IF(B140="Denied","Denied - RCA Needed",IF(B140="Pending","Pending - No Action",IF(E140=0,"No Rate on File",IF(ABS(F140)&lt;=0.05,"Within Threshold",IF(D140&lt;E140,"Underpaid - Escalate","Overpaid - Review")))))</f>
        <v>Within Threshold</v>
      </c>
      <c r="H140" s="7" t="str">
        <f aca="false">IF(AND(B140="Paid",ABS(F140)&gt;0.15,C140&gt;100),"High Priority Review","Standard")</f>
        <v>Standard</v>
      </c>
    </row>
    <row r="141" customFormat="false" ht="15" hidden="false" customHeight="false" outlineLevel="0" collapsed="false">
      <c r="A141" s="12" t="n">
        <f aca="false">Claims_Data!A141</f>
        <v>100140</v>
      </c>
      <c r="B141" s="12" t="str">
        <f aca="false">Claims_Data!J141</f>
        <v>Paid</v>
      </c>
      <c r="C141" s="13" t="n">
        <f aca="false">Claims_Data!G141</f>
        <v>40.5</v>
      </c>
      <c r="D141" s="13" t="n">
        <f aca="false">Claims_Data!H141</f>
        <v>27.01</v>
      </c>
      <c r="E141" s="13" t="n">
        <f aca="false">INDEX_MATCH_Analysis!H141</f>
        <v>27</v>
      </c>
      <c r="F141" s="17" t="n">
        <f aca="false">INDEX_MATCH_Analysis!J141</f>
        <v>0.000370370370370428</v>
      </c>
      <c r="G141" s="7" t="str">
        <f aca="false">IF(B141="Denied","Denied - RCA Needed",IF(B141="Pending","Pending - No Action",IF(E141=0,"No Rate on File",IF(ABS(F141)&lt;=0.05,"Within Threshold",IF(D141&lt;E141,"Underpaid - Escalate","Overpaid - Review")))))</f>
        <v>Within Threshold</v>
      </c>
      <c r="H141" s="7" t="str">
        <f aca="false">IF(AND(B141="Paid",ABS(F141)&gt;0.15,C141&gt;100),"High Priority Review","Standard")</f>
        <v>Standard</v>
      </c>
    </row>
    <row r="142" customFormat="false" ht="15" hidden="false" customHeight="false" outlineLevel="0" collapsed="false">
      <c r="A142" s="12" t="n">
        <f aca="false">Claims_Data!A142</f>
        <v>100141</v>
      </c>
      <c r="B142" s="12" t="str">
        <f aca="false">Claims_Data!J142</f>
        <v>Paid</v>
      </c>
      <c r="C142" s="13" t="n">
        <f aca="false">Claims_Data!G142</f>
        <v>138.93</v>
      </c>
      <c r="D142" s="13" t="n">
        <f aca="false">Claims_Data!H142</f>
        <v>119.32</v>
      </c>
      <c r="E142" s="13" t="n">
        <f aca="false">INDEX_MATCH_Analysis!H142</f>
        <v>118</v>
      </c>
      <c r="F142" s="17" t="n">
        <f aca="false">INDEX_MATCH_Analysis!J142</f>
        <v>0.011186440677966</v>
      </c>
      <c r="G142" s="7" t="str">
        <f aca="false">IF(B142="Denied","Denied - RCA Needed",IF(B142="Pending","Pending - No Action",IF(E142=0,"No Rate on File",IF(ABS(F142)&lt;=0.05,"Within Threshold",IF(D142&lt;E142,"Underpaid - Escalate","Overpaid - Review")))))</f>
        <v>Within Threshold</v>
      </c>
      <c r="H142" s="7" t="str">
        <f aca="false">IF(AND(B142="Paid",ABS(F142)&gt;0.15,C142&gt;100),"High Priority Review","Standard")</f>
        <v>Standard</v>
      </c>
    </row>
    <row r="143" customFormat="false" ht="15" hidden="false" customHeight="false" outlineLevel="0" collapsed="false">
      <c r="A143" s="12" t="n">
        <f aca="false">Claims_Data!A143</f>
        <v>100142</v>
      </c>
      <c r="B143" s="12" t="str">
        <f aca="false">Claims_Data!J143</f>
        <v>Paid</v>
      </c>
      <c r="C143" s="13" t="n">
        <f aca="false">Claims_Data!G143</f>
        <v>165.75</v>
      </c>
      <c r="D143" s="13" t="n">
        <f aca="false">Claims_Data!H143</f>
        <v>128.95</v>
      </c>
      <c r="E143" s="13" t="n">
        <f aca="false">INDEX_MATCH_Analysis!H143</f>
        <v>128</v>
      </c>
      <c r="F143" s="17" t="n">
        <f aca="false">INDEX_MATCH_Analysis!J143</f>
        <v>0.00742187499999991</v>
      </c>
      <c r="G143" s="7" t="str">
        <f aca="false">IF(B143="Denied","Denied - RCA Needed",IF(B143="Pending","Pending - No Action",IF(E143=0,"No Rate on File",IF(ABS(F143)&lt;=0.05,"Within Threshold",IF(D143&lt;E143,"Underpaid - Escalate","Overpaid - Review")))))</f>
        <v>Within Threshold</v>
      </c>
      <c r="H143" s="7" t="str">
        <f aca="false">IF(AND(B143="Paid",ABS(F143)&gt;0.15,C143&gt;100),"High Priority Review","Standard")</f>
        <v>Standard</v>
      </c>
    </row>
    <row r="144" customFormat="false" ht="15" hidden="false" customHeight="false" outlineLevel="0" collapsed="false">
      <c r="A144" s="12" t="n">
        <f aca="false">Claims_Data!A144</f>
        <v>100143</v>
      </c>
      <c r="B144" s="12" t="str">
        <f aca="false">Claims_Data!J144</f>
        <v>Paid</v>
      </c>
      <c r="C144" s="13" t="n">
        <f aca="false">Claims_Data!G144</f>
        <v>56.44</v>
      </c>
      <c r="D144" s="13" t="n">
        <f aca="false">Claims_Data!H144</f>
        <v>44.77</v>
      </c>
      <c r="E144" s="13" t="n">
        <f aca="false">INDEX_MATCH_Analysis!H144</f>
        <v>44</v>
      </c>
      <c r="F144" s="17" t="n">
        <f aca="false">INDEX_MATCH_Analysis!J144</f>
        <v>0.0175000000000001</v>
      </c>
      <c r="G144" s="7" t="str">
        <f aca="false">IF(B144="Denied","Denied - RCA Needed",IF(B144="Pending","Pending - No Action",IF(E144=0,"No Rate on File",IF(ABS(F144)&lt;=0.05,"Within Threshold",IF(D144&lt;E144,"Underpaid - Escalate","Overpaid - Review")))))</f>
        <v>Within Threshold</v>
      </c>
      <c r="H144" s="7" t="str">
        <f aca="false">IF(AND(B144="Paid",ABS(F144)&gt;0.15,C144&gt;100),"High Priority Review","Standard")</f>
        <v>Standard</v>
      </c>
    </row>
    <row r="145" customFormat="false" ht="15" hidden="false" customHeight="false" outlineLevel="0" collapsed="false">
      <c r="A145" s="12" t="n">
        <f aca="false">Claims_Data!A145</f>
        <v>100144</v>
      </c>
      <c r="B145" s="12" t="str">
        <f aca="false">Claims_Data!J145</f>
        <v>Paid</v>
      </c>
      <c r="C145" s="13" t="n">
        <f aca="false">Claims_Data!G145</f>
        <v>41.84</v>
      </c>
      <c r="D145" s="13" t="n">
        <f aca="false">Claims_Data!H145</f>
        <v>21.05</v>
      </c>
      <c r="E145" s="13" t="n">
        <f aca="false">INDEX_MATCH_Analysis!H145</f>
        <v>27</v>
      </c>
      <c r="F145" s="17" t="n">
        <f aca="false">INDEX_MATCH_Analysis!J145</f>
        <v>-0.22037037037037</v>
      </c>
      <c r="G145" s="7" t="str">
        <f aca="false">IF(B145="Denied","Denied - RCA Needed",IF(B145="Pending","Pending - No Action",IF(E145=0,"No Rate on File",IF(ABS(F145)&lt;=0.05,"Within Threshold",IF(D145&lt;E145,"Underpaid - Escalate","Overpaid - Review")))))</f>
        <v>Underpaid - Escalate</v>
      </c>
      <c r="H145" s="7" t="str">
        <f aca="false">IF(AND(B145="Paid",ABS(F145)&gt;0.15,C145&gt;100),"High Priority Review","Standard")</f>
        <v>Standard</v>
      </c>
    </row>
    <row r="146" customFormat="false" ht="15" hidden="false" customHeight="false" outlineLevel="0" collapsed="false">
      <c r="A146" s="12" t="n">
        <f aca="false">Claims_Data!A146</f>
        <v>100145</v>
      </c>
      <c r="B146" s="12" t="str">
        <f aca="false">Claims_Data!J146</f>
        <v>Paid</v>
      </c>
      <c r="C146" s="13" t="n">
        <f aca="false">Claims_Data!G146</f>
        <v>271.02</v>
      </c>
      <c r="D146" s="13" t="n">
        <f aca="false">Claims_Data!H146</f>
        <v>191.75</v>
      </c>
      <c r="E146" s="13" t="n">
        <f aca="false">INDEX_MATCH_Analysis!H146</f>
        <v>187</v>
      </c>
      <c r="F146" s="17" t="n">
        <f aca="false">INDEX_MATCH_Analysis!J146</f>
        <v>0.0254010695187166</v>
      </c>
      <c r="G146" s="7" t="str">
        <f aca="false">IF(B146="Denied","Denied - RCA Needed",IF(B146="Pending","Pending - No Action",IF(E146=0,"No Rate on File",IF(ABS(F146)&lt;=0.05,"Within Threshold",IF(D146&lt;E146,"Underpaid - Escalate","Overpaid - Review")))))</f>
        <v>Within Threshold</v>
      </c>
      <c r="H146" s="7" t="str">
        <f aca="false">IF(AND(B146="Paid",ABS(F146)&gt;0.15,C146&gt;100),"High Priority Review","Standard")</f>
        <v>Standard</v>
      </c>
    </row>
    <row r="147" customFormat="false" ht="15" hidden="false" customHeight="false" outlineLevel="0" collapsed="false">
      <c r="A147" s="12" t="n">
        <f aca="false">Claims_Data!A147</f>
        <v>100146</v>
      </c>
      <c r="B147" s="12" t="str">
        <f aca="false">Claims_Data!J147</f>
        <v>Paid</v>
      </c>
      <c r="C147" s="13" t="n">
        <f aca="false">Claims_Data!G147</f>
        <v>172.08</v>
      </c>
      <c r="D147" s="13" t="n">
        <f aca="false">Claims_Data!H147</f>
        <v>125.16</v>
      </c>
      <c r="E147" s="13" t="n">
        <f aca="false">INDEX_MATCH_Analysis!H147</f>
        <v>128</v>
      </c>
      <c r="F147" s="17" t="n">
        <f aca="false">INDEX_MATCH_Analysis!J147</f>
        <v>-0.0221875</v>
      </c>
      <c r="G147" s="7" t="str">
        <f aca="false">IF(B147="Denied","Denied - RCA Needed",IF(B147="Pending","Pending - No Action",IF(E147=0,"No Rate on File",IF(ABS(F147)&lt;=0.05,"Within Threshold",IF(D147&lt;E147,"Underpaid - Escalate","Overpaid - Review")))))</f>
        <v>Within Threshold</v>
      </c>
      <c r="H147" s="7" t="str">
        <f aca="false">IF(AND(B147="Paid",ABS(F147)&gt;0.15,C147&gt;100),"High Priority Review","Standard")</f>
        <v>Standard</v>
      </c>
    </row>
    <row r="148" customFormat="false" ht="15" hidden="false" customHeight="false" outlineLevel="0" collapsed="false">
      <c r="A148" s="12" t="n">
        <f aca="false">Claims_Data!A148</f>
        <v>100147</v>
      </c>
      <c r="B148" s="12" t="str">
        <f aca="false">Claims_Data!J148</f>
        <v>Paid</v>
      </c>
      <c r="C148" s="13" t="n">
        <f aca="false">Claims_Data!G148</f>
        <v>15.71</v>
      </c>
      <c r="D148" s="13" t="n">
        <f aca="false">Claims_Data!H148</f>
        <v>10.48</v>
      </c>
      <c r="E148" s="13" t="n">
        <f aca="false">INDEX_MATCH_Analysis!H148</f>
        <v>12</v>
      </c>
      <c r="F148" s="17" t="n">
        <f aca="false">INDEX_MATCH_Analysis!J148</f>
        <v>-0.126666666666667</v>
      </c>
      <c r="G148" s="7" t="str">
        <f aca="false">IF(B148="Denied","Denied - RCA Needed",IF(B148="Pending","Pending - No Action",IF(E148=0,"No Rate on File",IF(ABS(F148)&lt;=0.05,"Within Threshold",IF(D148&lt;E148,"Underpaid - Escalate","Overpaid - Review")))))</f>
        <v>Underpaid - Escalate</v>
      </c>
      <c r="H148" s="7" t="str">
        <f aca="false">IF(AND(B148="Paid",ABS(F148)&gt;0.15,C148&gt;100),"High Priority Review","Standard")</f>
        <v>Standard</v>
      </c>
    </row>
    <row r="149" customFormat="false" ht="15" hidden="false" customHeight="false" outlineLevel="0" collapsed="false">
      <c r="A149" s="12" t="n">
        <f aca="false">Claims_Data!A149</f>
        <v>100148</v>
      </c>
      <c r="B149" s="12" t="str">
        <f aca="false">Claims_Data!J149</f>
        <v>Paid</v>
      </c>
      <c r="C149" s="13" t="n">
        <f aca="false">Claims_Data!G149</f>
        <v>300.9</v>
      </c>
      <c r="D149" s="13" t="n">
        <f aca="false">Claims_Data!H149</f>
        <v>232.16</v>
      </c>
      <c r="E149" s="13" t="n">
        <f aca="false">INDEX_MATCH_Analysis!H149</f>
        <v>230</v>
      </c>
      <c r="F149" s="17" t="n">
        <f aca="false">INDEX_MATCH_Analysis!J149</f>
        <v>0.00939130434782607</v>
      </c>
      <c r="G149" s="7" t="str">
        <f aca="false">IF(B149="Denied","Denied - RCA Needed",IF(B149="Pending","Pending - No Action",IF(E149=0,"No Rate on File",IF(ABS(F149)&lt;=0.05,"Within Threshold",IF(D149&lt;E149,"Underpaid - Escalate","Overpaid - Review")))))</f>
        <v>Within Threshold</v>
      </c>
      <c r="H149" s="7" t="str">
        <f aca="false">IF(AND(B149="Paid",ABS(F149)&gt;0.15,C149&gt;100),"High Priority Review","Standard")</f>
        <v>Standard</v>
      </c>
    </row>
    <row r="150" customFormat="false" ht="15" hidden="false" customHeight="false" outlineLevel="0" collapsed="false">
      <c r="A150" s="12" t="n">
        <f aca="false">Claims_Data!A150</f>
        <v>100149</v>
      </c>
      <c r="B150" s="12" t="str">
        <f aca="false">Claims_Data!J150</f>
        <v>Paid</v>
      </c>
      <c r="C150" s="13" t="n">
        <f aca="false">Claims_Data!G150</f>
        <v>47.35</v>
      </c>
      <c r="D150" s="13" t="n">
        <f aca="false">Claims_Data!H150</f>
        <v>36.66</v>
      </c>
      <c r="E150" s="13" t="n">
        <f aca="false">INDEX_MATCH_Analysis!H150</f>
        <v>36</v>
      </c>
      <c r="F150" s="17" t="n">
        <f aca="false">INDEX_MATCH_Analysis!J150</f>
        <v>0.0183333333333332</v>
      </c>
      <c r="G150" s="7" t="str">
        <f aca="false">IF(B150="Denied","Denied - RCA Needed",IF(B150="Pending","Pending - No Action",IF(E150=0,"No Rate on File",IF(ABS(F150)&lt;=0.05,"Within Threshold",IF(D150&lt;E150,"Underpaid - Escalate","Overpaid - Review")))))</f>
        <v>Within Threshold</v>
      </c>
      <c r="H150" s="7" t="str">
        <f aca="false">IF(AND(B150="Paid",ABS(F150)&gt;0.15,C150&gt;100),"High Priority Review","Standard")</f>
        <v>Standard</v>
      </c>
    </row>
    <row r="151" customFormat="false" ht="15" hidden="false" customHeight="false" outlineLevel="0" collapsed="false">
      <c r="A151" s="12" t="n">
        <f aca="false">Claims_Data!A151</f>
        <v>100150</v>
      </c>
      <c r="B151" s="12" t="str">
        <f aca="false">Claims_Data!J151</f>
        <v>Paid</v>
      </c>
      <c r="C151" s="13" t="n">
        <f aca="false">Claims_Data!G151</f>
        <v>232.95</v>
      </c>
      <c r="D151" s="13" t="n">
        <f aca="false">Claims_Data!H151</f>
        <v>201.79</v>
      </c>
      <c r="E151" s="13" t="n">
        <f aca="false">INDEX_MATCH_Analysis!H151</f>
        <v>183</v>
      </c>
      <c r="F151" s="17" t="n">
        <f aca="false">INDEX_MATCH_Analysis!J151</f>
        <v>0.102677595628415</v>
      </c>
      <c r="G151" s="7" t="str">
        <f aca="false">IF(B151="Denied","Denied - RCA Needed",IF(B151="Pending","Pending - No Action",IF(E151=0,"No Rate on File",IF(ABS(F151)&lt;=0.05,"Within Threshold",IF(D151&lt;E151,"Underpaid - Escalate","Overpaid - Review")))))</f>
        <v>Overpaid - Review</v>
      </c>
      <c r="H151" s="7" t="str">
        <f aca="false">IF(AND(B151="Paid",ABS(F151)&gt;0.15,C151&gt;100),"High Priority Review","Standard")</f>
        <v>Standard</v>
      </c>
    </row>
    <row r="152" customFormat="false" ht="15" hidden="false" customHeight="false" outlineLevel="0" collapsed="false">
      <c r="A152" s="12" t="n">
        <f aca="false">Claims_Data!A152</f>
        <v>100151</v>
      </c>
      <c r="B152" s="12" t="str">
        <f aca="false">Claims_Data!J152</f>
        <v>Paid</v>
      </c>
      <c r="C152" s="13" t="n">
        <f aca="false">Claims_Data!G152</f>
        <v>18.9</v>
      </c>
      <c r="D152" s="13" t="n">
        <f aca="false">Claims_Data!H152</f>
        <v>17.02</v>
      </c>
      <c r="E152" s="13" t="n">
        <f aca="false">INDEX_MATCH_Analysis!H152</f>
        <v>16</v>
      </c>
      <c r="F152" s="17" t="n">
        <f aca="false">INDEX_MATCH_Analysis!J152</f>
        <v>0.06375</v>
      </c>
      <c r="G152" s="7" t="str">
        <f aca="false">IF(B152="Denied","Denied - RCA Needed",IF(B152="Pending","Pending - No Action",IF(E152=0,"No Rate on File",IF(ABS(F152)&lt;=0.05,"Within Threshold",IF(D152&lt;E152,"Underpaid - Escalate","Overpaid - Review")))))</f>
        <v>Overpaid - Review</v>
      </c>
      <c r="H152" s="7" t="str">
        <f aca="false">IF(AND(B152="Paid",ABS(F152)&gt;0.15,C152&gt;100),"High Priority Review","Standard")</f>
        <v>Standard</v>
      </c>
    </row>
    <row r="153" customFormat="false" ht="15" hidden="false" customHeight="false" outlineLevel="0" collapsed="false">
      <c r="A153" s="12" t="n">
        <f aca="false">Claims_Data!A153</f>
        <v>100152</v>
      </c>
      <c r="B153" s="12" t="str">
        <f aca="false">Claims_Data!J153</f>
        <v>Paid</v>
      </c>
      <c r="C153" s="13" t="n">
        <f aca="false">Claims_Data!G153</f>
        <v>35.19</v>
      </c>
      <c r="D153" s="13" t="n">
        <f aca="false">Claims_Data!H153</f>
        <v>23.09</v>
      </c>
      <c r="E153" s="13" t="n">
        <f aca="false">INDEX_MATCH_Analysis!H153</f>
        <v>27</v>
      </c>
      <c r="F153" s="17" t="n">
        <f aca="false">INDEX_MATCH_Analysis!J153</f>
        <v>-0.144814814814815</v>
      </c>
      <c r="G153" s="7" t="str">
        <f aca="false">IF(B153="Denied","Denied - RCA Needed",IF(B153="Pending","Pending - No Action",IF(E153=0,"No Rate on File",IF(ABS(F153)&lt;=0.05,"Within Threshold",IF(D153&lt;E153,"Underpaid - Escalate","Overpaid - Review")))))</f>
        <v>Underpaid - Escalate</v>
      </c>
      <c r="H153" s="7" t="str">
        <f aca="false">IF(AND(B153="Paid",ABS(F153)&gt;0.15,C153&gt;100),"High Priority Review","Standard")</f>
        <v>Standard</v>
      </c>
    </row>
    <row r="154" customFormat="false" ht="15" hidden="false" customHeight="false" outlineLevel="0" collapsed="false">
      <c r="A154" s="12" t="n">
        <f aca="false">Claims_Data!A154</f>
        <v>100153</v>
      </c>
      <c r="B154" s="12" t="str">
        <f aca="false">Claims_Data!J154</f>
        <v>Paid</v>
      </c>
      <c r="C154" s="13" t="n">
        <f aca="false">Claims_Data!G154</f>
        <v>180.23</v>
      </c>
      <c r="D154" s="13" t="n">
        <f aca="false">Claims_Data!H154</f>
        <v>120.59</v>
      </c>
      <c r="E154" s="13" t="n">
        <f aca="false">INDEX_MATCH_Analysis!H154</f>
        <v>121</v>
      </c>
      <c r="F154" s="17" t="n">
        <f aca="false">INDEX_MATCH_Analysis!J154</f>
        <v>-0.00338842975206609</v>
      </c>
      <c r="G154" s="7" t="str">
        <f aca="false">IF(B154="Denied","Denied - RCA Needed",IF(B154="Pending","Pending - No Action",IF(E154=0,"No Rate on File",IF(ABS(F154)&lt;=0.05,"Within Threshold",IF(D154&lt;E154,"Underpaid - Escalate","Overpaid - Review")))))</f>
        <v>Within Threshold</v>
      </c>
      <c r="H154" s="7" t="str">
        <f aca="false">IF(AND(B154="Paid",ABS(F154)&gt;0.15,C154&gt;100),"High Priority Review","Standard")</f>
        <v>Standard</v>
      </c>
    </row>
    <row r="155" customFormat="false" ht="15" hidden="false" customHeight="false" outlineLevel="0" collapsed="false">
      <c r="A155" s="12" t="n">
        <f aca="false">Claims_Data!A155</f>
        <v>100154</v>
      </c>
      <c r="B155" s="12" t="str">
        <f aca="false">Claims_Data!J155</f>
        <v>Paid</v>
      </c>
      <c r="C155" s="13" t="n">
        <f aca="false">Claims_Data!G155</f>
        <v>36.08</v>
      </c>
      <c r="D155" s="13" t="n">
        <f aca="false">Claims_Data!H155</f>
        <v>26.75</v>
      </c>
      <c r="E155" s="13" t="n">
        <f aca="false">INDEX_MATCH_Analysis!H155</f>
        <v>27</v>
      </c>
      <c r="F155" s="17" t="n">
        <f aca="false">INDEX_MATCH_Analysis!J155</f>
        <v>-0.00925925925925926</v>
      </c>
      <c r="G155" s="7" t="str">
        <f aca="false">IF(B155="Denied","Denied - RCA Needed",IF(B155="Pending","Pending - No Action",IF(E155=0,"No Rate on File",IF(ABS(F155)&lt;=0.05,"Within Threshold",IF(D155&lt;E155,"Underpaid - Escalate","Overpaid - Review")))))</f>
        <v>Within Threshold</v>
      </c>
      <c r="H155" s="7" t="str">
        <f aca="false">IF(AND(B155="Paid",ABS(F155)&gt;0.15,C155&gt;100),"High Priority Review","Standard")</f>
        <v>Standard</v>
      </c>
    </row>
    <row r="156" customFormat="false" ht="15" hidden="false" customHeight="false" outlineLevel="0" collapsed="false">
      <c r="A156" s="12" t="n">
        <f aca="false">Claims_Data!A156</f>
        <v>100155</v>
      </c>
      <c r="B156" s="12" t="str">
        <f aca="false">Claims_Data!J156</f>
        <v>Paid</v>
      </c>
      <c r="C156" s="13" t="n">
        <f aca="false">Claims_Data!G156</f>
        <v>37.45</v>
      </c>
      <c r="D156" s="13" t="n">
        <f aca="false">Claims_Data!H156</f>
        <v>27.78</v>
      </c>
      <c r="E156" s="13" t="n">
        <f aca="false">INDEX_MATCH_Analysis!H156</f>
        <v>27</v>
      </c>
      <c r="F156" s="17" t="n">
        <f aca="false">INDEX_MATCH_Analysis!J156</f>
        <v>0.0288888888888889</v>
      </c>
      <c r="G156" s="7" t="str">
        <f aca="false">IF(B156="Denied","Denied - RCA Needed",IF(B156="Pending","Pending - No Action",IF(E156=0,"No Rate on File",IF(ABS(F156)&lt;=0.05,"Within Threshold",IF(D156&lt;E156,"Underpaid - Escalate","Overpaid - Review")))))</f>
        <v>Within Threshold</v>
      </c>
      <c r="H156" s="7" t="str">
        <f aca="false">IF(AND(B156="Paid",ABS(F156)&gt;0.15,C156&gt;100),"High Priority Review","Standard")</f>
        <v>Standard</v>
      </c>
    </row>
    <row r="157" customFormat="false" ht="15" hidden="false" customHeight="false" outlineLevel="0" collapsed="false">
      <c r="A157" s="12" t="n">
        <f aca="false">Claims_Data!A157</f>
        <v>100156</v>
      </c>
      <c r="B157" s="12" t="str">
        <f aca="false">Claims_Data!J157</f>
        <v>Paid</v>
      </c>
      <c r="C157" s="13" t="n">
        <f aca="false">Claims_Data!G157</f>
        <v>185.9</v>
      </c>
      <c r="D157" s="13" t="n">
        <f aca="false">Claims_Data!H157</f>
        <v>89.43</v>
      </c>
      <c r="E157" s="13" t="n">
        <f aca="false">INDEX_MATCH_Analysis!H157</f>
        <v>118</v>
      </c>
      <c r="F157" s="17" t="n">
        <f aca="false">INDEX_MATCH_Analysis!J157</f>
        <v>-0.242118644067797</v>
      </c>
      <c r="G157" s="7" t="str">
        <f aca="false">IF(B157="Denied","Denied - RCA Needed",IF(B157="Pending","Pending - No Action",IF(E157=0,"No Rate on File",IF(ABS(F157)&lt;=0.05,"Within Threshold",IF(D157&lt;E157,"Underpaid - Escalate","Overpaid - Review")))))</f>
        <v>Underpaid - Escalate</v>
      </c>
      <c r="H157" s="7" t="str">
        <f aca="false">IF(AND(B157="Paid",ABS(F157)&gt;0.15,C157&gt;100),"High Priority Review","Standard")</f>
        <v>High Priority Review</v>
      </c>
    </row>
    <row r="158" customFormat="false" ht="15" hidden="false" customHeight="false" outlineLevel="0" collapsed="false">
      <c r="A158" s="12" t="n">
        <f aca="false">Claims_Data!A158</f>
        <v>100157</v>
      </c>
      <c r="B158" s="12" t="str">
        <f aca="false">Claims_Data!J158</f>
        <v>Paid</v>
      </c>
      <c r="C158" s="13" t="n">
        <f aca="false">Claims_Data!G158</f>
        <v>19.67</v>
      </c>
      <c r="D158" s="13" t="n">
        <f aca="false">Claims_Data!H158</f>
        <v>12.8</v>
      </c>
      <c r="E158" s="13" t="n">
        <f aca="false">INDEX_MATCH_Analysis!H158</f>
        <v>16</v>
      </c>
      <c r="F158" s="17" t="n">
        <f aca="false">INDEX_MATCH_Analysis!J158</f>
        <v>-0.2</v>
      </c>
      <c r="G158" s="7" t="str">
        <f aca="false">IF(B158="Denied","Denied - RCA Needed",IF(B158="Pending","Pending - No Action",IF(E158=0,"No Rate on File",IF(ABS(F158)&lt;=0.05,"Within Threshold",IF(D158&lt;E158,"Underpaid - Escalate","Overpaid - Review")))))</f>
        <v>Underpaid - Escalate</v>
      </c>
      <c r="H158" s="7" t="str">
        <f aca="false">IF(AND(B158="Paid",ABS(F158)&gt;0.15,C158&gt;100),"High Priority Review","Standard")</f>
        <v>Standard</v>
      </c>
    </row>
    <row r="159" customFormat="false" ht="15" hidden="false" customHeight="false" outlineLevel="0" collapsed="false">
      <c r="A159" s="12" t="n">
        <f aca="false">Claims_Data!A159</f>
        <v>100158</v>
      </c>
      <c r="B159" s="12" t="str">
        <f aca="false">Claims_Data!J159</f>
        <v>Paid</v>
      </c>
      <c r="C159" s="13" t="n">
        <f aca="false">Claims_Data!G159</f>
        <v>158.86</v>
      </c>
      <c r="D159" s="13" t="n">
        <f aca="false">Claims_Data!H159</f>
        <v>116.68</v>
      </c>
      <c r="E159" s="13" t="n">
        <f aca="false">INDEX_MATCH_Analysis!H159</f>
        <v>118</v>
      </c>
      <c r="F159" s="17" t="n">
        <f aca="false">INDEX_MATCH_Analysis!J159</f>
        <v>-0.011186440677966</v>
      </c>
      <c r="G159" s="7" t="str">
        <f aca="false">IF(B159="Denied","Denied - RCA Needed",IF(B159="Pending","Pending - No Action",IF(E159=0,"No Rate on File",IF(ABS(F159)&lt;=0.05,"Within Threshold",IF(D159&lt;E159,"Underpaid - Escalate","Overpaid - Review")))))</f>
        <v>Within Threshold</v>
      </c>
      <c r="H159" s="7" t="str">
        <f aca="false">IF(AND(B159="Paid",ABS(F159)&gt;0.15,C159&gt;100),"High Priority Review","Standard")</f>
        <v>Standard</v>
      </c>
    </row>
    <row r="160" customFormat="false" ht="15" hidden="false" customHeight="false" outlineLevel="0" collapsed="false">
      <c r="A160" s="12" t="n">
        <f aca="false">Claims_Data!A160</f>
        <v>100159</v>
      </c>
      <c r="B160" s="12" t="str">
        <f aca="false">Claims_Data!J160</f>
        <v>Paid</v>
      </c>
      <c r="C160" s="13" t="n">
        <f aca="false">Claims_Data!G160</f>
        <v>276.42</v>
      </c>
      <c r="D160" s="13" t="n">
        <f aca="false">Claims_Data!H160</f>
        <v>234.16</v>
      </c>
      <c r="E160" s="13" t="n">
        <f aca="false">INDEX_MATCH_Analysis!H160</f>
        <v>230</v>
      </c>
      <c r="F160" s="17" t="n">
        <f aca="false">INDEX_MATCH_Analysis!J160</f>
        <v>0.0180869565217391</v>
      </c>
      <c r="G160" s="7" t="str">
        <f aca="false">IF(B160="Denied","Denied - RCA Needed",IF(B160="Pending","Pending - No Action",IF(E160=0,"No Rate on File",IF(ABS(F160)&lt;=0.05,"Within Threshold",IF(D160&lt;E160,"Underpaid - Escalate","Overpaid - Review")))))</f>
        <v>Within Threshold</v>
      </c>
      <c r="H160" s="7" t="str">
        <f aca="false">IF(AND(B160="Paid",ABS(F160)&gt;0.15,C160&gt;100),"High Priority Review","Standard")</f>
        <v>Standard</v>
      </c>
    </row>
    <row r="161" customFormat="false" ht="15" hidden="false" customHeight="false" outlineLevel="0" collapsed="false">
      <c r="A161" s="12" t="n">
        <f aca="false">Claims_Data!A161</f>
        <v>100160</v>
      </c>
      <c r="B161" s="12" t="str">
        <f aca="false">Claims_Data!J161</f>
        <v>Paid</v>
      </c>
      <c r="C161" s="13" t="n">
        <f aca="false">Claims_Data!G161</f>
        <v>18.36</v>
      </c>
      <c r="D161" s="13" t="n">
        <f aca="false">Claims_Data!H161</f>
        <v>12.02</v>
      </c>
      <c r="E161" s="13" t="n">
        <f aca="false">INDEX_MATCH_Analysis!H161</f>
        <v>12</v>
      </c>
      <c r="F161" s="17" t="n">
        <f aca="false">INDEX_MATCH_Analysis!J161</f>
        <v>0.00166666666666663</v>
      </c>
      <c r="G161" s="7" t="str">
        <f aca="false">IF(B161="Denied","Denied - RCA Needed",IF(B161="Pending","Pending - No Action",IF(E161=0,"No Rate on File",IF(ABS(F161)&lt;=0.05,"Within Threshold",IF(D161&lt;E161,"Underpaid - Escalate","Overpaid - Review")))))</f>
        <v>Within Threshold</v>
      </c>
      <c r="H161" s="7" t="str">
        <f aca="false">IF(AND(B161="Paid",ABS(F161)&gt;0.15,C161&gt;100),"High Priority Review","Standard")</f>
        <v>Standard</v>
      </c>
    </row>
    <row r="162" customFormat="false" ht="15" hidden="false" customHeight="false" outlineLevel="0" collapsed="false">
      <c r="A162" s="12" t="n">
        <f aca="false">Claims_Data!A162</f>
        <v>100161</v>
      </c>
      <c r="B162" s="12" t="str">
        <f aca="false">Claims_Data!J162</f>
        <v>Paid</v>
      </c>
      <c r="C162" s="13" t="n">
        <f aca="false">Claims_Data!G162</f>
        <v>155.99</v>
      </c>
      <c r="D162" s="13" t="n">
        <f aca="false">Claims_Data!H162</f>
        <v>117.22</v>
      </c>
      <c r="E162" s="13" t="n">
        <f aca="false">INDEX_MATCH_Analysis!H162</f>
        <v>120</v>
      </c>
      <c r="F162" s="17" t="n">
        <f aca="false">INDEX_MATCH_Analysis!J162</f>
        <v>-0.0231666666666667</v>
      </c>
      <c r="G162" s="7" t="str">
        <f aca="false">IF(B162="Denied","Denied - RCA Needed",IF(B162="Pending","Pending - No Action",IF(E162=0,"No Rate on File",IF(ABS(F162)&lt;=0.05,"Within Threshold",IF(D162&lt;E162,"Underpaid - Escalate","Overpaid - Review")))))</f>
        <v>Within Threshold</v>
      </c>
      <c r="H162" s="7" t="str">
        <f aca="false">IF(AND(B162="Paid",ABS(F162)&gt;0.15,C162&gt;100),"High Priority Review","Standard")</f>
        <v>Standard</v>
      </c>
    </row>
    <row r="163" customFormat="false" ht="15" hidden="false" customHeight="false" outlineLevel="0" collapsed="false">
      <c r="A163" s="12" t="n">
        <f aca="false">Claims_Data!A163</f>
        <v>100162</v>
      </c>
      <c r="B163" s="12" t="str">
        <f aca="false">Claims_Data!J163</f>
        <v>Paid</v>
      </c>
      <c r="C163" s="13" t="n">
        <f aca="false">Claims_Data!G163</f>
        <v>228.98</v>
      </c>
      <c r="D163" s="13" t="n">
        <f aca="false">Claims_Data!H163</f>
        <v>115.82</v>
      </c>
      <c r="E163" s="13" t="n">
        <f aca="false">INDEX_MATCH_Analysis!H163</f>
        <v>155</v>
      </c>
      <c r="F163" s="17" t="n">
        <f aca="false">INDEX_MATCH_Analysis!J163</f>
        <v>-0.252774193548387</v>
      </c>
      <c r="G163" s="7" t="str">
        <f aca="false">IF(B163="Denied","Denied - RCA Needed",IF(B163="Pending","Pending - No Action",IF(E163=0,"No Rate on File",IF(ABS(F163)&lt;=0.05,"Within Threshold",IF(D163&lt;E163,"Underpaid - Escalate","Overpaid - Review")))))</f>
        <v>Underpaid - Escalate</v>
      </c>
      <c r="H163" s="7" t="str">
        <f aca="false">IF(AND(B163="Paid",ABS(F163)&gt;0.15,C163&gt;100),"High Priority Review","Standard")</f>
        <v>High Priority Review</v>
      </c>
    </row>
    <row r="164" customFormat="false" ht="15" hidden="false" customHeight="false" outlineLevel="0" collapsed="false">
      <c r="A164" s="12" t="n">
        <f aca="false">Claims_Data!A164</f>
        <v>100163</v>
      </c>
      <c r="B164" s="12" t="str">
        <f aca="false">Claims_Data!J164</f>
        <v>Paid</v>
      </c>
      <c r="C164" s="13" t="n">
        <f aca="false">Claims_Data!G164</f>
        <v>171.95</v>
      </c>
      <c r="D164" s="13" t="n">
        <f aca="false">Claims_Data!H164</f>
        <v>88.99</v>
      </c>
      <c r="E164" s="13" t="n">
        <f aca="false">INDEX_MATCH_Analysis!H164</f>
        <v>121</v>
      </c>
      <c r="F164" s="17" t="n">
        <f aca="false">INDEX_MATCH_Analysis!J164</f>
        <v>-0.264545454545455</v>
      </c>
      <c r="G164" s="7" t="str">
        <f aca="false">IF(B164="Denied","Denied - RCA Needed",IF(B164="Pending","Pending - No Action",IF(E164=0,"No Rate on File",IF(ABS(F164)&lt;=0.05,"Within Threshold",IF(D164&lt;E164,"Underpaid - Escalate","Overpaid - Review")))))</f>
        <v>Underpaid - Escalate</v>
      </c>
      <c r="H164" s="7" t="str">
        <f aca="false">IF(AND(B164="Paid",ABS(F164)&gt;0.15,C164&gt;100),"High Priority Review","Standard")</f>
        <v>High Priority Review</v>
      </c>
    </row>
    <row r="165" customFormat="false" ht="15" hidden="false" customHeight="false" outlineLevel="0" collapsed="false">
      <c r="A165" s="12" t="n">
        <f aca="false">Claims_Data!A165</f>
        <v>100164</v>
      </c>
      <c r="B165" s="12" t="str">
        <f aca="false">Claims_Data!J165</f>
        <v>Denied</v>
      </c>
      <c r="C165" s="13" t="n">
        <f aca="false">Claims_Data!G165</f>
        <v>83.82</v>
      </c>
      <c r="D165" s="13" t="n">
        <f aca="false">Claims_Data!H165</f>
        <v>0</v>
      </c>
      <c r="E165" s="13" t="n">
        <f aca="false">INDEX_MATCH_Analysis!H165</f>
        <v>62</v>
      </c>
      <c r="F165" s="17" t="n">
        <f aca="false">INDEX_MATCH_Analysis!J165</f>
        <v>-1</v>
      </c>
      <c r="G165" s="7" t="str">
        <f aca="false">IF(B165="Denied","Denied - RCA Needed",IF(B165="Pending","Pending - No Action",IF(E165=0,"No Rate on File",IF(ABS(F165)&lt;=0.05,"Within Threshold",IF(D165&lt;E165,"Underpaid - Escalate","Overpaid - Review")))))</f>
        <v>Denied - RCA Needed</v>
      </c>
      <c r="H165" s="7" t="str">
        <f aca="false">IF(AND(B165="Paid",ABS(F165)&gt;0.15,C165&gt;100),"High Priority Review","Standard")</f>
        <v>Standard</v>
      </c>
    </row>
    <row r="166" customFormat="false" ht="15" hidden="false" customHeight="false" outlineLevel="0" collapsed="false">
      <c r="A166" s="12" t="n">
        <f aca="false">Claims_Data!A166</f>
        <v>100165</v>
      </c>
      <c r="B166" s="12" t="str">
        <f aca="false">Claims_Data!J166</f>
        <v>Paid</v>
      </c>
      <c r="C166" s="13" t="n">
        <f aca="false">Claims_Data!G166</f>
        <v>16.53</v>
      </c>
      <c r="D166" s="13" t="n">
        <f aca="false">Claims_Data!H166</f>
        <v>13.81</v>
      </c>
      <c r="E166" s="13" t="n">
        <f aca="false">INDEX_MATCH_Analysis!H166</f>
        <v>14</v>
      </c>
      <c r="F166" s="17" t="n">
        <f aca="false">INDEX_MATCH_Analysis!J166</f>
        <v>-0.0135714285714285</v>
      </c>
      <c r="G166" s="7" t="str">
        <f aca="false">IF(B166="Denied","Denied - RCA Needed",IF(B166="Pending","Pending - No Action",IF(E166=0,"No Rate on File",IF(ABS(F166)&lt;=0.05,"Within Threshold",IF(D166&lt;E166,"Underpaid - Escalate","Overpaid - Review")))))</f>
        <v>Within Threshold</v>
      </c>
      <c r="H166" s="7" t="str">
        <f aca="false">IF(AND(B166="Paid",ABS(F166)&gt;0.15,C166&gt;100),"High Priority Review","Standard")</f>
        <v>Standard</v>
      </c>
    </row>
    <row r="167" customFormat="false" ht="15" hidden="false" customHeight="false" outlineLevel="0" collapsed="false">
      <c r="A167" s="12" t="n">
        <f aca="false">Claims_Data!A167</f>
        <v>100166</v>
      </c>
      <c r="B167" s="12" t="str">
        <f aca="false">Claims_Data!J167</f>
        <v>Paid</v>
      </c>
      <c r="C167" s="13" t="n">
        <f aca="false">Claims_Data!G167</f>
        <v>212.8</v>
      </c>
      <c r="D167" s="13" t="n">
        <f aca="false">Claims_Data!H167</f>
        <v>168.28</v>
      </c>
      <c r="E167" s="13" t="n">
        <f aca="false">INDEX_MATCH_Analysis!H167</f>
        <v>165</v>
      </c>
      <c r="F167" s="17" t="n">
        <f aca="false">INDEX_MATCH_Analysis!J167</f>
        <v>0.0198787878787879</v>
      </c>
      <c r="G167" s="7" t="str">
        <f aca="false">IF(B167="Denied","Denied - RCA Needed",IF(B167="Pending","Pending - No Action",IF(E167=0,"No Rate on File",IF(ABS(F167)&lt;=0.05,"Within Threshold",IF(D167&lt;E167,"Underpaid - Escalate","Overpaid - Review")))))</f>
        <v>Within Threshold</v>
      </c>
      <c r="H167" s="7" t="str">
        <f aca="false">IF(AND(B167="Paid",ABS(F167)&gt;0.15,C167&gt;100),"High Priority Review","Standard")</f>
        <v>Standard</v>
      </c>
    </row>
    <row r="168" customFormat="false" ht="15" hidden="false" customHeight="false" outlineLevel="0" collapsed="false">
      <c r="A168" s="12" t="n">
        <f aca="false">Claims_Data!A168</f>
        <v>100167</v>
      </c>
      <c r="B168" s="12" t="str">
        <f aca="false">Claims_Data!J168</f>
        <v>Paid</v>
      </c>
      <c r="C168" s="13" t="n">
        <f aca="false">Claims_Data!G168</f>
        <v>85.45</v>
      </c>
      <c r="D168" s="13" t="n">
        <f aca="false">Claims_Data!H168</f>
        <v>63.09</v>
      </c>
      <c r="E168" s="13" t="n">
        <f aca="false">INDEX_MATCH_Analysis!H168</f>
        <v>62</v>
      </c>
      <c r="F168" s="17" t="n">
        <f aca="false">INDEX_MATCH_Analysis!J168</f>
        <v>0.0175806451612904</v>
      </c>
      <c r="G168" s="7" t="str">
        <f aca="false">IF(B168="Denied","Denied - RCA Needed",IF(B168="Pending","Pending - No Action",IF(E168=0,"No Rate on File",IF(ABS(F168)&lt;=0.05,"Within Threshold",IF(D168&lt;E168,"Underpaid - Escalate","Overpaid - Review")))))</f>
        <v>Within Threshold</v>
      </c>
      <c r="H168" s="7" t="str">
        <f aca="false">IF(AND(B168="Paid",ABS(F168)&gt;0.15,C168&gt;100),"High Priority Review","Standard")</f>
        <v>Standard</v>
      </c>
    </row>
    <row r="169" customFormat="false" ht="15" hidden="false" customHeight="false" outlineLevel="0" collapsed="false">
      <c r="A169" s="12" t="n">
        <f aca="false">Claims_Data!A169</f>
        <v>100168</v>
      </c>
      <c r="B169" s="12" t="str">
        <f aca="false">Claims_Data!J169</f>
        <v>Paid</v>
      </c>
      <c r="C169" s="13" t="n">
        <f aca="false">Claims_Data!G169</f>
        <v>187.73</v>
      </c>
      <c r="D169" s="13" t="n">
        <f aca="false">Claims_Data!H169</f>
        <v>141.19</v>
      </c>
      <c r="E169" s="13" t="n">
        <f aca="false">INDEX_MATCH_Analysis!H169</f>
        <v>145</v>
      </c>
      <c r="F169" s="17" t="n">
        <f aca="false">INDEX_MATCH_Analysis!J169</f>
        <v>-0.0262758620689655</v>
      </c>
      <c r="G169" s="7" t="str">
        <f aca="false">IF(B169="Denied","Denied - RCA Needed",IF(B169="Pending","Pending - No Action",IF(E169=0,"No Rate on File",IF(ABS(F169)&lt;=0.05,"Within Threshold",IF(D169&lt;E169,"Underpaid - Escalate","Overpaid - Review")))))</f>
        <v>Within Threshold</v>
      </c>
      <c r="H169" s="7" t="str">
        <f aca="false">IF(AND(B169="Paid",ABS(F169)&gt;0.15,C169&gt;100),"High Priority Review","Standard")</f>
        <v>Standard</v>
      </c>
    </row>
    <row r="170" customFormat="false" ht="15" hidden="false" customHeight="false" outlineLevel="0" collapsed="false">
      <c r="A170" s="12" t="n">
        <f aca="false">Claims_Data!A170</f>
        <v>100169</v>
      </c>
      <c r="B170" s="12" t="str">
        <f aca="false">Claims_Data!J170</f>
        <v>Paid</v>
      </c>
      <c r="C170" s="13" t="n">
        <f aca="false">Claims_Data!G170</f>
        <v>48.99</v>
      </c>
      <c r="D170" s="13" t="n">
        <f aca="false">Claims_Data!H170</f>
        <v>30.54</v>
      </c>
      <c r="E170" s="13" t="n">
        <f aca="false">INDEX_MATCH_Analysis!H170</f>
        <v>34</v>
      </c>
      <c r="F170" s="17" t="n">
        <f aca="false">INDEX_MATCH_Analysis!J170</f>
        <v>-0.101764705882353</v>
      </c>
      <c r="G170" s="7" t="str">
        <f aca="false">IF(B170="Denied","Denied - RCA Needed",IF(B170="Pending","Pending - No Action",IF(E170=0,"No Rate on File",IF(ABS(F170)&lt;=0.05,"Within Threshold",IF(D170&lt;E170,"Underpaid - Escalate","Overpaid - Review")))))</f>
        <v>Underpaid - Escalate</v>
      </c>
      <c r="H170" s="7" t="str">
        <f aca="false">IF(AND(B170="Paid",ABS(F170)&gt;0.15,C170&gt;100),"High Priority Review","Standard")</f>
        <v>Standard</v>
      </c>
    </row>
    <row r="171" customFormat="false" ht="15" hidden="false" customHeight="false" outlineLevel="0" collapsed="false">
      <c r="A171" s="12" t="n">
        <f aca="false">Claims_Data!A171</f>
        <v>100170</v>
      </c>
      <c r="B171" s="12" t="str">
        <f aca="false">Claims_Data!J171</f>
        <v>Paid</v>
      </c>
      <c r="C171" s="13" t="n">
        <f aca="false">Claims_Data!G171</f>
        <v>242.28</v>
      </c>
      <c r="D171" s="13" t="n">
        <f aca="false">Claims_Data!H171</f>
        <v>129.55</v>
      </c>
      <c r="E171" s="13" t="n">
        <f aca="false">INDEX_MATCH_Analysis!H171</f>
        <v>155</v>
      </c>
      <c r="F171" s="17" t="n">
        <f aca="false">INDEX_MATCH_Analysis!J171</f>
        <v>-0.164193548387097</v>
      </c>
      <c r="G171" s="7" t="str">
        <f aca="false">IF(B171="Denied","Denied - RCA Needed",IF(B171="Pending","Pending - No Action",IF(E171=0,"No Rate on File",IF(ABS(F171)&lt;=0.05,"Within Threshold",IF(D171&lt;E171,"Underpaid - Escalate","Overpaid - Review")))))</f>
        <v>Underpaid - Escalate</v>
      </c>
      <c r="H171" s="7" t="str">
        <f aca="false">IF(AND(B171="Paid",ABS(F171)&gt;0.15,C171&gt;100),"High Priority Review","Standard")</f>
        <v>High Priority Review</v>
      </c>
    </row>
    <row r="172" customFormat="false" ht="15" hidden="false" customHeight="false" outlineLevel="0" collapsed="false">
      <c r="A172" s="12" t="n">
        <f aca="false">Claims_Data!A172</f>
        <v>100171</v>
      </c>
      <c r="B172" s="12" t="str">
        <f aca="false">Claims_Data!J172</f>
        <v>Paid</v>
      </c>
      <c r="C172" s="13" t="n">
        <f aca="false">Claims_Data!G172</f>
        <v>172.92</v>
      </c>
      <c r="D172" s="13" t="n">
        <f aca="false">Claims_Data!H172</f>
        <v>146.95</v>
      </c>
      <c r="E172" s="13" t="n">
        <f aca="false">INDEX_MATCH_Analysis!H172</f>
        <v>145</v>
      </c>
      <c r="F172" s="17" t="n">
        <f aca="false">INDEX_MATCH_Analysis!J172</f>
        <v>0.0134482758620689</v>
      </c>
      <c r="G172" s="7" t="str">
        <f aca="false">IF(B172="Denied","Denied - RCA Needed",IF(B172="Pending","Pending - No Action",IF(E172=0,"No Rate on File",IF(ABS(F172)&lt;=0.05,"Within Threshold",IF(D172&lt;E172,"Underpaid - Escalate","Overpaid - Review")))))</f>
        <v>Within Threshold</v>
      </c>
      <c r="H172" s="7" t="str">
        <f aca="false">IF(AND(B172="Paid",ABS(F172)&gt;0.15,C172&gt;100),"High Priority Review","Standard")</f>
        <v>Standard</v>
      </c>
    </row>
    <row r="173" customFormat="false" ht="15" hidden="false" customHeight="false" outlineLevel="0" collapsed="false">
      <c r="A173" s="12" t="n">
        <f aca="false">Claims_Data!A173</f>
        <v>100172</v>
      </c>
      <c r="B173" s="12" t="str">
        <f aca="false">Claims_Data!J173</f>
        <v>Paid</v>
      </c>
      <c r="C173" s="13" t="n">
        <f aca="false">Claims_Data!G173</f>
        <v>69.53</v>
      </c>
      <c r="D173" s="13" t="n">
        <f aca="false">Claims_Data!H173</f>
        <v>48.45</v>
      </c>
      <c r="E173" s="13" t="n">
        <f aca="false">INDEX_MATCH_Analysis!H173</f>
        <v>48</v>
      </c>
      <c r="F173" s="17" t="n">
        <f aca="false">INDEX_MATCH_Analysis!J173</f>
        <v>0.00937500000000006</v>
      </c>
      <c r="G173" s="7" t="str">
        <f aca="false">IF(B173="Denied","Denied - RCA Needed",IF(B173="Pending","Pending - No Action",IF(E173=0,"No Rate on File",IF(ABS(F173)&lt;=0.05,"Within Threshold",IF(D173&lt;E173,"Underpaid - Escalate","Overpaid - Review")))))</f>
        <v>Within Threshold</v>
      </c>
      <c r="H173" s="7" t="str">
        <f aca="false">IF(AND(B173="Paid",ABS(F173)&gt;0.15,C173&gt;100),"High Priority Review","Standard")</f>
        <v>Standard</v>
      </c>
    </row>
    <row r="174" customFormat="false" ht="15" hidden="false" customHeight="false" outlineLevel="0" collapsed="false">
      <c r="A174" s="12" t="n">
        <f aca="false">Claims_Data!A174</f>
        <v>100173</v>
      </c>
      <c r="B174" s="12" t="str">
        <f aca="false">Claims_Data!J174</f>
        <v>Paid</v>
      </c>
      <c r="C174" s="13" t="n">
        <f aca="false">Claims_Data!G174</f>
        <v>212.74</v>
      </c>
      <c r="D174" s="13" t="n">
        <f aca="false">Claims_Data!H174</f>
        <v>142.34</v>
      </c>
      <c r="E174" s="13" t="n">
        <f aca="false">INDEX_MATCH_Analysis!H174</f>
        <v>165</v>
      </c>
      <c r="F174" s="17" t="n">
        <f aca="false">INDEX_MATCH_Analysis!J174</f>
        <v>-0.137333333333333</v>
      </c>
      <c r="G174" s="7" t="str">
        <f aca="false">IF(B174="Denied","Denied - RCA Needed",IF(B174="Pending","Pending - No Action",IF(E174=0,"No Rate on File",IF(ABS(F174)&lt;=0.05,"Within Threshold",IF(D174&lt;E174,"Underpaid - Escalate","Overpaid - Review")))))</f>
        <v>Underpaid - Escalate</v>
      </c>
      <c r="H174" s="7" t="str">
        <f aca="false">IF(AND(B174="Paid",ABS(F174)&gt;0.15,C174&gt;100),"High Priority Review","Standard")</f>
        <v>Standard</v>
      </c>
    </row>
    <row r="175" customFormat="false" ht="15" hidden="false" customHeight="false" outlineLevel="0" collapsed="false">
      <c r="A175" s="12" t="n">
        <f aca="false">Claims_Data!A175</f>
        <v>100174</v>
      </c>
      <c r="B175" s="12" t="str">
        <f aca="false">Claims_Data!J175</f>
        <v>Paid</v>
      </c>
      <c r="C175" s="13" t="n">
        <f aca="false">Claims_Data!G175</f>
        <v>57.76</v>
      </c>
      <c r="D175" s="13" t="n">
        <f aca="false">Claims_Data!H175</f>
        <v>43.25</v>
      </c>
      <c r="E175" s="13" t="n">
        <f aca="false">INDEX_MATCH_Analysis!H175</f>
        <v>44</v>
      </c>
      <c r="F175" s="17" t="n">
        <f aca="false">INDEX_MATCH_Analysis!J175</f>
        <v>-0.0170454545454545</v>
      </c>
      <c r="G175" s="7" t="str">
        <f aca="false">IF(B175="Denied","Denied - RCA Needed",IF(B175="Pending","Pending - No Action",IF(E175=0,"No Rate on File",IF(ABS(F175)&lt;=0.05,"Within Threshold",IF(D175&lt;E175,"Underpaid - Escalate","Overpaid - Review")))))</f>
        <v>Within Threshold</v>
      </c>
      <c r="H175" s="7" t="str">
        <f aca="false">IF(AND(B175="Paid",ABS(F175)&gt;0.15,C175&gt;100),"High Priority Review","Standard")</f>
        <v>Standard</v>
      </c>
    </row>
    <row r="176" customFormat="false" ht="15" hidden="false" customHeight="false" outlineLevel="0" collapsed="false">
      <c r="A176" s="12" t="n">
        <f aca="false">Claims_Data!A176</f>
        <v>100175</v>
      </c>
      <c r="B176" s="12" t="str">
        <f aca="false">Claims_Data!J176</f>
        <v>Paid</v>
      </c>
      <c r="C176" s="13" t="n">
        <f aca="false">Claims_Data!G176</f>
        <v>147.59</v>
      </c>
      <c r="D176" s="13" t="n">
        <f aca="false">Claims_Data!H176</f>
        <v>96.99</v>
      </c>
      <c r="E176" s="13" t="n">
        <f aca="false">INDEX_MATCH_Analysis!H176</f>
        <v>121</v>
      </c>
      <c r="F176" s="17" t="n">
        <f aca="false">INDEX_MATCH_Analysis!J176</f>
        <v>-0.198429752066116</v>
      </c>
      <c r="G176" s="7" t="str">
        <f aca="false">IF(B176="Denied","Denied - RCA Needed",IF(B176="Pending","Pending - No Action",IF(E176=0,"No Rate on File",IF(ABS(F176)&lt;=0.05,"Within Threshold",IF(D176&lt;E176,"Underpaid - Escalate","Overpaid - Review")))))</f>
        <v>Underpaid - Escalate</v>
      </c>
      <c r="H176" s="7" t="str">
        <f aca="false">IF(AND(B176="Paid",ABS(F176)&gt;0.15,C176&gt;100),"High Priority Review","Standard")</f>
        <v>High Priority Review</v>
      </c>
    </row>
    <row r="177" customFormat="false" ht="15" hidden="false" customHeight="false" outlineLevel="0" collapsed="false">
      <c r="A177" s="12" t="n">
        <f aca="false">Claims_Data!A177</f>
        <v>100176</v>
      </c>
      <c r="B177" s="12" t="str">
        <f aca="false">Claims_Data!J177</f>
        <v>Paid</v>
      </c>
      <c r="C177" s="13" t="n">
        <f aca="false">Claims_Data!G177</f>
        <v>61.66</v>
      </c>
      <c r="D177" s="13" t="n">
        <f aca="false">Claims_Data!H177</f>
        <v>52.01</v>
      </c>
      <c r="E177" s="13" t="n">
        <f aca="false">INDEX_MATCH_Analysis!H177</f>
        <v>51</v>
      </c>
      <c r="F177" s="17" t="n">
        <f aca="false">INDEX_MATCH_Analysis!J177</f>
        <v>0.0198039215686274</v>
      </c>
      <c r="G177" s="7" t="str">
        <f aca="false">IF(B177="Denied","Denied - RCA Needed",IF(B177="Pending","Pending - No Action",IF(E177=0,"No Rate on File",IF(ABS(F177)&lt;=0.05,"Within Threshold",IF(D177&lt;E177,"Underpaid - Escalate","Overpaid - Review")))))</f>
        <v>Within Threshold</v>
      </c>
      <c r="H177" s="7" t="str">
        <f aca="false">IF(AND(B177="Paid",ABS(F177)&gt;0.15,C177&gt;100),"High Priority Review","Standard")</f>
        <v>Standard</v>
      </c>
    </row>
    <row r="178" customFormat="false" ht="15" hidden="false" customHeight="false" outlineLevel="0" collapsed="false">
      <c r="A178" s="12" t="n">
        <f aca="false">Claims_Data!A178</f>
        <v>100177</v>
      </c>
      <c r="B178" s="12" t="str">
        <f aca="false">Claims_Data!J178</f>
        <v>Paid</v>
      </c>
      <c r="C178" s="13" t="n">
        <f aca="false">Claims_Data!G178</f>
        <v>15.77</v>
      </c>
      <c r="D178" s="13" t="n">
        <f aca="false">Claims_Data!H178</f>
        <v>13.7</v>
      </c>
      <c r="E178" s="13" t="n">
        <f aca="false">INDEX_MATCH_Analysis!H178</f>
        <v>12</v>
      </c>
      <c r="F178" s="17" t="n">
        <f aca="false">INDEX_MATCH_Analysis!J178</f>
        <v>0.141666666666667</v>
      </c>
      <c r="G178" s="7" t="str">
        <f aca="false">IF(B178="Denied","Denied - RCA Needed",IF(B178="Pending","Pending - No Action",IF(E178=0,"No Rate on File",IF(ABS(F178)&lt;=0.05,"Within Threshold",IF(D178&lt;E178,"Underpaid - Escalate","Overpaid - Review")))))</f>
        <v>Overpaid - Review</v>
      </c>
      <c r="H178" s="7" t="str">
        <f aca="false">IF(AND(B178="Paid",ABS(F178)&gt;0.15,C178&gt;100),"High Priority Review","Standard")</f>
        <v>Standard</v>
      </c>
    </row>
    <row r="179" customFormat="false" ht="15" hidden="false" customHeight="false" outlineLevel="0" collapsed="false">
      <c r="A179" s="12" t="n">
        <f aca="false">Claims_Data!A179</f>
        <v>100178</v>
      </c>
      <c r="B179" s="12" t="str">
        <f aca="false">Claims_Data!J179</f>
        <v>Paid</v>
      </c>
      <c r="C179" s="13" t="n">
        <f aca="false">Claims_Data!G179</f>
        <v>186.94</v>
      </c>
      <c r="D179" s="13" t="n">
        <f aca="false">Claims_Data!H179</f>
        <v>147.92</v>
      </c>
      <c r="E179" s="13" t="n">
        <f aca="false">INDEX_MATCH_Analysis!H179</f>
        <v>145</v>
      </c>
      <c r="F179" s="17" t="n">
        <f aca="false">INDEX_MATCH_Analysis!J179</f>
        <v>0.0201379310344827</v>
      </c>
      <c r="G179" s="7" t="str">
        <f aca="false">IF(B179="Denied","Denied - RCA Needed",IF(B179="Pending","Pending - No Action",IF(E179=0,"No Rate on File",IF(ABS(F179)&lt;=0.05,"Within Threshold",IF(D179&lt;E179,"Underpaid - Escalate","Overpaid - Review")))))</f>
        <v>Within Threshold</v>
      </c>
      <c r="H179" s="7" t="str">
        <f aca="false">IF(AND(B179="Paid",ABS(F179)&gt;0.15,C179&gt;100),"High Priority Review","Standard")</f>
        <v>Standard</v>
      </c>
    </row>
    <row r="180" customFormat="false" ht="15" hidden="false" customHeight="false" outlineLevel="0" collapsed="false">
      <c r="A180" s="12" t="n">
        <f aca="false">Claims_Data!A180</f>
        <v>100179</v>
      </c>
      <c r="B180" s="12" t="str">
        <f aca="false">Claims_Data!J180</f>
        <v>Paid</v>
      </c>
      <c r="C180" s="13" t="n">
        <f aca="false">Claims_Data!G180</f>
        <v>345.04</v>
      </c>
      <c r="D180" s="13" t="n">
        <f aca="false">Claims_Data!H180</f>
        <v>225.34</v>
      </c>
      <c r="E180" s="13" t="n">
        <f aca="false">INDEX_MATCH_Analysis!H180</f>
        <v>230</v>
      </c>
      <c r="F180" s="17" t="n">
        <f aca="false">INDEX_MATCH_Analysis!J180</f>
        <v>-0.0202608695652174</v>
      </c>
      <c r="G180" s="7" t="str">
        <f aca="false">IF(B180="Denied","Denied - RCA Needed",IF(B180="Pending","Pending - No Action",IF(E180=0,"No Rate on File",IF(ABS(F180)&lt;=0.05,"Within Threshold",IF(D180&lt;E180,"Underpaid - Escalate","Overpaid - Review")))))</f>
        <v>Within Threshold</v>
      </c>
      <c r="H180" s="7" t="str">
        <f aca="false">IF(AND(B180="Paid",ABS(F180)&gt;0.15,C180&gt;100),"High Priority Review","Standard")</f>
        <v>Standard</v>
      </c>
    </row>
    <row r="181" customFormat="false" ht="15" hidden="false" customHeight="false" outlineLevel="0" collapsed="false">
      <c r="A181" s="12" t="n">
        <f aca="false">Claims_Data!A181</f>
        <v>100180</v>
      </c>
      <c r="B181" s="12" t="str">
        <f aca="false">Claims_Data!J181</f>
        <v>Paid</v>
      </c>
      <c r="C181" s="13" t="n">
        <f aca="false">Claims_Data!G181</f>
        <v>140.98</v>
      </c>
      <c r="D181" s="13" t="n">
        <f aca="false">Claims_Data!H181</f>
        <v>95.66</v>
      </c>
      <c r="E181" s="13" t="n">
        <f aca="false">INDEX_MATCH_Analysis!H181</f>
        <v>98</v>
      </c>
      <c r="F181" s="17" t="n">
        <f aca="false">INDEX_MATCH_Analysis!J181</f>
        <v>-0.0238775510204082</v>
      </c>
      <c r="G181" s="7" t="str">
        <f aca="false">IF(B181="Denied","Denied - RCA Needed",IF(B181="Pending","Pending - No Action",IF(E181=0,"No Rate on File",IF(ABS(F181)&lt;=0.05,"Within Threshold",IF(D181&lt;E181,"Underpaid - Escalate","Overpaid - Review")))))</f>
        <v>Within Threshold</v>
      </c>
      <c r="H181" s="7" t="str">
        <f aca="false">IF(AND(B181="Paid",ABS(F181)&gt;0.15,C181&gt;100),"High Priority Review","Standard")</f>
        <v>Standard</v>
      </c>
    </row>
    <row r="182" customFormat="false" ht="15" hidden="false" customHeight="false" outlineLevel="0" collapsed="false">
      <c r="A182" s="12" t="n">
        <f aca="false">Claims_Data!A182</f>
        <v>100181</v>
      </c>
      <c r="B182" s="12" t="str">
        <f aca="false">Claims_Data!J182</f>
        <v>Paid</v>
      </c>
      <c r="C182" s="13" t="n">
        <f aca="false">Claims_Data!G182</f>
        <v>204.6</v>
      </c>
      <c r="D182" s="13" t="n">
        <f aca="false">Claims_Data!H182</f>
        <v>146.88</v>
      </c>
      <c r="E182" s="13" t="n">
        <f aca="false">INDEX_MATCH_Analysis!H182</f>
        <v>137</v>
      </c>
      <c r="F182" s="17" t="n">
        <f aca="false">INDEX_MATCH_Analysis!J182</f>
        <v>0.0721167883211678</v>
      </c>
      <c r="G182" s="7" t="str">
        <f aca="false">IF(B182="Denied","Denied - RCA Needed",IF(B182="Pending","Pending - No Action",IF(E182=0,"No Rate on File",IF(ABS(F182)&lt;=0.05,"Within Threshold",IF(D182&lt;E182,"Underpaid - Escalate","Overpaid - Review")))))</f>
        <v>Overpaid - Review</v>
      </c>
      <c r="H182" s="7" t="str">
        <f aca="false">IF(AND(B182="Paid",ABS(F182)&gt;0.15,C182&gt;100),"High Priority Review","Standard")</f>
        <v>Standard</v>
      </c>
    </row>
    <row r="183" customFormat="false" ht="15" hidden="false" customHeight="false" outlineLevel="0" collapsed="false">
      <c r="A183" s="12" t="n">
        <f aca="false">Claims_Data!A183</f>
        <v>100182</v>
      </c>
      <c r="B183" s="12" t="str">
        <f aca="false">Claims_Data!J183</f>
        <v>Denied</v>
      </c>
      <c r="C183" s="13" t="n">
        <f aca="false">Claims_Data!G183</f>
        <v>21.67</v>
      </c>
      <c r="D183" s="13" t="n">
        <f aca="false">Claims_Data!H183</f>
        <v>0</v>
      </c>
      <c r="E183" s="13" t="n">
        <f aca="false">INDEX_MATCH_Analysis!H183</f>
        <v>14</v>
      </c>
      <c r="F183" s="17" t="n">
        <f aca="false">INDEX_MATCH_Analysis!J183</f>
        <v>-1</v>
      </c>
      <c r="G183" s="7" t="str">
        <f aca="false">IF(B183="Denied","Denied - RCA Needed",IF(B183="Pending","Pending - No Action",IF(E183=0,"No Rate on File",IF(ABS(F183)&lt;=0.05,"Within Threshold",IF(D183&lt;E183,"Underpaid - Escalate","Overpaid - Review")))))</f>
        <v>Denied - RCA Needed</v>
      </c>
      <c r="H183" s="7" t="str">
        <f aca="false">IF(AND(B183="Paid",ABS(F183)&gt;0.15,C183&gt;100),"High Priority Review","Standard")</f>
        <v>Standard</v>
      </c>
    </row>
    <row r="184" customFormat="false" ht="15" hidden="false" customHeight="false" outlineLevel="0" collapsed="false">
      <c r="A184" s="12" t="n">
        <f aca="false">Claims_Data!A184</f>
        <v>100183</v>
      </c>
      <c r="B184" s="12" t="str">
        <f aca="false">Claims_Data!J184</f>
        <v>Pending</v>
      </c>
      <c r="C184" s="13" t="n">
        <f aca="false">Claims_Data!G184</f>
        <v>234.89</v>
      </c>
      <c r="D184" s="13" t="n">
        <f aca="false">Claims_Data!H184</f>
        <v>0</v>
      </c>
      <c r="E184" s="13" t="n">
        <f aca="false">INDEX_MATCH_Analysis!H184</f>
        <v>187</v>
      </c>
      <c r="F184" s="17" t="n">
        <f aca="false">INDEX_MATCH_Analysis!J184</f>
        <v>-1</v>
      </c>
      <c r="G184" s="7" t="str">
        <f aca="false">IF(B184="Denied","Denied - RCA Needed",IF(B184="Pending","Pending - No Action",IF(E184=0,"No Rate on File",IF(ABS(F184)&lt;=0.05,"Within Threshold",IF(D184&lt;E184,"Underpaid - Escalate","Overpaid - Review")))))</f>
        <v>Pending - No Action</v>
      </c>
      <c r="H184" s="7" t="str">
        <f aca="false">IF(AND(B184="Paid",ABS(F184)&gt;0.15,C184&gt;100),"High Priority Review","Standard")</f>
        <v>Standard</v>
      </c>
    </row>
    <row r="185" customFormat="false" ht="15" hidden="false" customHeight="false" outlineLevel="0" collapsed="false">
      <c r="A185" s="12" t="n">
        <f aca="false">Claims_Data!A185</f>
        <v>100184</v>
      </c>
      <c r="B185" s="12" t="str">
        <f aca="false">Claims_Data!J185</f>
        <v>Paid</v>
      </c>
      <c r="C185" s="13" t="n">
        <f aca="false">Claims_Data!G185</f>
        <v>227.49</v>
      </c>
      <c r="D185" s="13" t="n">
        <f aca="false">Claims_Data!H185</f>
        <v>147.54</v>
      </c>
      <c r="E185" s="13" t="n">
        <f aca="false">INDEX_MATCH_Analysis!H185</f>
        <v>145</v>
      </c>
      <c r="F185" s="17" t="n">
        <f aca="false">INDEX_MATCH_Analysis!J185</f>
        <v>0.0175172413793103</v>
      </c>
      <c r="G185" s="7" t="str">
        <f aca="false">IF(B185="Denied","Denied - RCA Needed",IF(B185="Pending","Pending - No Action",IF(E185=0,"No Rate on File",IF(ABS(F185)&lt;=0.05,"Within Threshold",IF(D185&lt;E185,"Underpaid - Escalate","Overpaid - Review")))))</f>
        <v>Within Threshold</v>
      </c>
      <c r="H185" s="7" t="str">
        <f aca="false">IF(AND(B185="Paid",ABS(F185)&gt;0.15,C185&gt;100),"High Priority Review","Standard")</f>
        <v>Standard</v>
      </c>
    </row>
    <row r="186" customFormat="false" ht="15" hidden="false" customHeight="false" outlineLevel="0" collapsed="false">
      <c r="A186" s="12" t="n">
        <f aca="false">Claims_Data!A186</f>
        <v>100185</v>
      </c>
      <c r="B186" s="12" t="str">
        <f aca="false">Claims_Data!J186</f>
        <v>Paid</v>
      </c>
      <c r="C186" s="13" t="n">
        <f aca="false">Claims_Data!G186</f>
        <v>32.19</v>
      </c>
      <c r="D186" s="13" t="n">
        <f aca="false">Claims_Data!H186</f>
        <v>17.37</v>
      </c>
      <c r="E186" s="13" t="n">
        <f aca="false">INDEX_MATCH_Analysis!H186</f>
        <v>22</v>
      </c>
      <c r="F186" s="17" t="n">
        <f aca="false">INDEX_MATCH_Analysis!J186</f>
        <v>-0.210454545454545</v>
      </c>
      <c r="G186" s="7" t="str">
        <f aca="false">IF(B186="Denied","Denied - RCA Needed",IF(B186="Pending","Pending - No Action",IF(E186=0,"No Rate on File",IF(ABS(F186)&lt;=0.05,"Within Threshold",IF(D186&lt;E186,"Underpaid - Escalate","Overpaid - Review")))))</f>
        <v>Underpaid - Escalate</v>
      </c>
      <c r="H186" s="7" t="str">
        <f aca="false">IF(AND(B186="Paid",ABS(F186)&gt;0.15,C186&gt;100),"High Priority Review","Standard")</f>
        <v>Standard</v>
      </c>
    </row>
    <row r="187" customFormat="false" ht="15" hidden="false" customHeight="false" outlineLevel="0" collapsed="false">
      <c r="A187" s="12" t="n">
        <f aca="false">Claims_Data!A187</f>
        <v>100186</v>
      </c>
      <c r="B187" s="12" t="str">
        <f aca="false">Claims_Data!J187</f>
        <v>Paid</v>
      </c>
      <c r="C187" s="13" t="n">
        <f aca="false">Claims_Data!G187</f>
        <v>221.97</v>
      </c>
      <c r="D187" s="13" t="n">
        <f aca="false">Claims_Data!H187</f>
        <v>203.16</v>
      </c>
      <c r="E187" s="13" t="n">
        <f aca="false">INDEX_MATCH_Analysis!H187</f>
        <v>178</v>
      </c>
      <c r="F187" s="17" t="n">
        <f aca="false">INDEX_MATCH_Analysis!J187</f>
        <v>0.141348314606742</v>
      </c>
      <c r="G187" s="7" t="str">
        <f aca="false">IF(B187="Denied","Denied - RCA Needed",IF(B187="Pending","Pending - No Action",IF(E187=0,"No Rate on File",IF(ABS(F187)&lt;=0.05,"Within Threshold",IF(D187&lt;E187,"Underpaid - Escalate","Overpaid - Review")))))</f>
        <v>Overpaid - Review</v>
      </c>
      <c r="H187" s="7" t="str">
        <f aca="false">IF(AND(B187="Paid",ABS(F187)&gt;0.15,C187&gt;100),"High Priority Review","Standard")</f>
        <v>Standard</v>
      </c>
    </row>
    <row r="188" customFormat="false" ht="15" hidden="false" customHeight="false" outlineLevel="0" collapsed="false">
      <c r="A188" s="12" t="n">
        <f aca="false">Claims_Data!A188</f>
        <v>100187</v>
      </c>
      <c r="B188" s="12" t="str">
        <f aca="false">Claims_Data!J188</f>
        <v>Paid</v>
      </c>
      <c r="C188" s="13" t="n">
        <f aca="false">Claims_Data!G188</f>
        <v>154.26</v>
      </c>
      <c r="D188" s="13" t="n">
        <f aca="false">Claims_Data!H188</f>
        <v>122.12</v>
      </c>
      <c r="E188" s="13" t="n">
        <f aca="false">INDEX_MATCH_Analysis!H188</f>
        <v>120</v>
      </c>
      <c r="F188" s="17" t="n">
        <f aca="false">INDEX_MATCH_Analysis!J188</f>
        <v>0.0176666666666667</v>
      </c>
      <c r="G188" s="7" t="str">
        <f aca="false">IF(B188="Denied","Denied - RCA Needed",IF(B188="Pending","Pending - No Action",IF(E188=0,"No Rate on File",IF(ABS(F188)&lt;=0.05,"Within Threshold",IF(D188&lt;E188,"Underpaid - Escalate","Overpaid - Review")))))</f>
        <v>Within Threshold</v>
      </c>
      <c r="H188" s="7" t="str">
        <f aca="false">IF(AND(B188="Paid",ABS(F188)&gt;0.15,C188&gt;100),"High Priority Review","Standard")</f>
        <v>Standard</v>
      </c>
    </row>
    <row r="189" customFormat="false" ht="15" hidden="false" customHeight="false" outlineLevel="0" collapsed="false">
      <c r="A189" s="12" t="n">
        <f aca="false">Claims_Data!A189</f>
        <v>100188</v>
      </c>
      <c r="B189" s="12" t="str">
        <f aca="false">Claims_Data!J189</f>
        <v>Paid</v>
      </c>
      <c r="C189" s="13" t="n">
        <f aca="false">Claims_Data!G189</f>
        <v>29.79</v>
      </c>
      <c r="D189" s="13" t="n">
        <f aca="false">Claims_Data!H189</f>
        <v>20.67</v>
      </c>
      <c r="E189" s="13" t="n">
        <f aca="false">INDEX_MATCH_Analysis!H189</f>
        <v>21</v>
      </c>
      <c r="F189" s="17" t="n">
        <f aca="false">INDEX_MATCH_Analysis!J189</f>
        <v>-0.0157142857142856</v>
      </c>
      <c r="G189" s="7" t="str">
        <f aca="false">IF(B189="Denied","Denied - RCA Needed",IF(B189="Pending","Pending - No Action",IF(E189=0,"No Rate on File",IF(ABS(F189)&lt;=0.05,"Within Threshold",IF(D189&lt;E189,"Underpaid - Escalate","Overpaid - Review")))))</f>
        <v>Within Threshold</v>
      </c>
      <c r="H189" s="7" t="str">
        <f aca="false">IF(AND(B189="Paid",ABS(F189)&gt;0.15,C189&gt;100),"High Priority Review","Standard")</f>
        <v>Standard</v>
      </c>
    </row>
    <row r="190" customFormat="false" ht="15" hidden="false" customHeight="false" outlineLevel="0" collapsed="false">
      <c r="A190" s="12" t="n">
        <f aca="false">Claims_Data!A190</f>
        <v>100189</v>
      </c>
      <c r="B190" s="12" t="str">
        <f aca="false">Claims_Data!J190</f>
        <v>Paid</v>
      </c>
      <c r="C190" s="13" t="n">
        <f aca="false">Claims_Data!G190</f>
        <v>168.35</v>
      </c>
      <c r="D190" s="13" t="n">
        <f aca="false">Claims_Data!H190</f>
        <v>119.16</v>
      </c>
      <c r="E190" s="13" t="n">
        <f aca="false">INDEX_MATCH_Analysis!H190</f>
        <v>118</v>
      </c>
      <c r="F190" s="17" t="n">
        <f aca="false">INDEX_MATCH_Analysis!J190</f>
        <v>0.00983050847457624</v>
      </c>
      <c r="G190" s="7" t="str">
        <f aca="false">IF(B190="Denied","Denied - RCA Needed",IF(B190="Pending","Pending - No Action",IF(E190=0,"No Rate on File",IF(ABS(F190)&lt;=0.05,"Within Threshold",IF(D190&lt;E190,"Underpaid - Escalate","Overpaid - Review")))))</f>
        <v>Within Threshold</v>
      </c>
      <c r="H190" s="7" t="str">
        <f aca="false">IF(AND(B190="Paid",ABS(F190)&gt;0.15,C190&gt;100),"High Priority Review","Standard")</f>
        <v>Standard</v>
      </c>
    </row>
    <row r="191" customFormat="false" ht="15" hidden="false" customHeight="false" outlineLevel="0" collapsed="false">
      <c r="A191" s="12" t="n">
        <f aca="false">Claims_Data!A191</f>
        <v>100190</v>
      </c>
      <c r="B191" s="12" t="str">
        <f aca="false">Claims_Data!J191</f>
        <v>Paid</v>
      </c>
      <c r="C191" s="13" t="n">
        <f aca="false">Claims_Data!G191</f>
        <v>47.42</v>
      </c>
      <c r="D191" s="13" t="n">
        <f aca="false">Claims_Data!H191</f>
        <v>33.02</v>
      </c>
      <c r="E191" s="13" t="n">
        <f aca="false">INDEX_MATCH_Analysis!H191</f>
        <v>34</v>
      </c>
      <c r="F191" s="17" t="n">
        <f aca="false">INDEX_MATCH_Analysis!J191</f>
        <v>-0.0288235294117646</v>
      </c>
      <c r="G191" s="7" t="str">
        <f aca="false">IF(B191="Denied","Denied - RCA Needed",IF(B191="Pending","Pending - No Action",IF(E191=0,"No Rate on File",IF(ABS(F191)&lt;=0.05,"Within Threshold",IF(D191&lt;E191,"Underpaid - Escalate","Overpaid - Review")))))</f>
        <v>Within Threshold</v>
      </c>
      <c r="H191" s="7" t="str">
        <f aca="false">IF(AND(B191="Paid",ABS(F191)&gt;0.15,C191&gt;100),"High Priority Review","Standard")</f>
        <v>Standard</v>
      </c>
    </row>
    <row r="192" customFormat="false" ht="15" hidden="false" customHeight="false" outlineLevel="0" collapsed="false">
      <c r="A192" s="12" t="n">
        <f aca="false">Claims_Data!A192</f>
        <v>100191</v>
      </c>
      <c r="B192" s="12" t="str">
        <f aca="false">Claims_Data!J192</f>
        <v>Paid</v>
      </c>
      <c r="C192" s="13" t="n">
        <f aca="false">Claims_Data!G192</f>
        <v>236.39</v>
      </c>
      <c r="D192" s="13" t="n">
        <f aca="false">Claims_Data!H192</f>
        <v>143.8</v>
      </c>
      <c r="E192" s="13" t="n">
        <f aca="false">INDEX_MATCH_Analysis!H192</f>
        <v>187</v>
      </c>
      <c r="F192" s="17" t="n">
        <f aca="false">INDEX_MATCH_Analysis!J192</f>
        <v>-0.231016042780749</v>
      </c>
      <c r="G192" s="7" t="str">
        <f aca="false">IF(B192="Denied","Denied - RCA Needed",IF(B192="Pending","Pending - No Action",IF(E192=0,"No Rate on File",IF(ABS(F192)&lt;=0.05,"Within Threshold",IF(D192&lt;E192,"Underpaid - Escalate","Overpaid - Review")))))</f>
        <v>Underpaid - Escalate</v>
      </c>
      <c r="H192" s="7" t="str">
        <f aca="false">IF(AND(B192="Paid",ABS(F192)&gt;0.15,C192&gt;100),"High Priority Review","Standard")</f>
        <v>High Priority Review</v>
      </c>
    </row>
    <row r="193" customFormat="false" ht="15" hidden="false" customHeight="false" outlineLevel="0" collapsed="false">
      <c r="A193" s="12" t="n">
        <f aca="false">Claims_Data!A193</f>
        <v>100192</v>
      </c>
      <c r="B193" s="12" t="str">
        <f aca="false">Claims_Data!J193</f>
        <v>Paid</v>
      </c>
      <c r="C193" s="13" t="n">
        <f aca="false">Claims_Data!G193</f>
        <v>79.82</v>
      </c>
      <c r="D193" s="13" t="n">
        <f aca="false">Claims_Data!H193</f>
        <v>62.21</v>
      </c>
      <c r="E193" s="13" t="n">
        <f aca="false">INDEX_MATCH_Analysis!H193</f>
        <v>61</v>
      </c>
      <c r="F193" s="17" t="n">
        <f aca="false">INDEX_MATCH_Analysis!J193</f>
        <v>0.0198360655737705</v>
      </c>
      <c r="G193" s="7" t="str">
        <f aca="false">IF(B193="Denied","Denied - RCA Needed",IF(B193="Pending","Pending - No Action",IF(E193=0,"No Rate on File",IF(ABS(F193)&lt;=0.05,"Within Threshold",IF(D193&lt;E193,"Underpaid - Escalate","Overpaid - Review")))))</f>
        <v>Within Threshold</v>
      </c>
      <c r="H193" s="7" t="str">
        <f aca="false">IF(AND(B193="Paid",ABS(F193)&gt;0.15,C193&gt;100),"High Priority Review","Standard")</f>
        <v>Standard</v>
      </c>
    </row>
    <row r="194" customFormat="false" ht="15" hidden="false" customHeight="false" outlineLevel="0" collapsed="false">
      <c r="A194" s="12" t="n">
        <f aca="false">Claims_Data!A194</f>
        <v>100193</v>
      </c>
      <c r="B194" s="12" t="str">
        <f aca="false">Claims_Data!J194</f>
        <v>Paid</v>
      </c>
      <c r="C194" s="13" t="n">
        <f aca="false">Claims_Data!G194</f>
        <v>142.59</v>
      </c>
      <c r="D194" s="13" t="n">
        <f aca="false">Claims_Data!H194</f>
        <v>119.5</v>
      </c>
      <c r="E194" s="13" t="n">
        <f aca="false">INDEX_MATCH_Analysis!H194</f>
        <v>121</v>
      </c>
      <c r="F194" s="17" t="n">
        <f aca="false">INDEX_MATCH_Analysis!J194</f>
        <v>-0.012396694214876</v>
      </c>
      <c r="G194" s="7" t="str">
        <f aca="false">IF(B194="Denied","Denied - RCA Needed",IF(B194="Pending","Pending - No Action",IF(E194=0,"No Rate on File",IF(ABS(F194)&lt;=0.05,"Within Threshold",IF(D194&lt;E194,"Underpaid - Escalate","Overpaid - Review")))))</f>
        <v>Within Threshold</v>
      </c>
      <c r="H194" s="7" t="str">
        <f aca="false">IF(AND(B194="Paid",ABS(F194)&gt;0.15,C194&gt;100),"High Priority Review","Standard")</f>
        <v>Standard</v>
      </c>
    </row>
    <row r="195" customFormat="false" ht="15" hidden="false" customHeight="false" outlineLevel="0" collapsed="false">
      <c r="A195" s="12" t="n">
        <f aca="false">Claims_Data!A195</f>
        <v>100194</v>
      </c>
      <c r="B195" s="12" t="str">
        <f aca="false">Claims_Data!J195</f>
        <v>Paid</v>
      </c>
      <c r="C195" s="13" t="n">
        <f aca="false">Claims_Data!G195</f>
        <v>227.65</v>
      </c>
      <c r="D195" s="13" t="n">
        <f aca="false">Claims_Data!H195</f>
        <v>164.06</v>
      </c>
      <c r="E195" s="13" t="n">
        <f aca="false">INDEX_MATCH_Analysis!H195</f>
        <v>145</v>
      </c>
      <c r="F195" s="17" t="n">
        <f aca="false">INDEX_MATCH_Analysis!J195</f>
        <v>0.131448275862069</v>
      </c>
      <c r="G195" s="7" t="str">
        <f aca="false">IF(B195="Denied","Denied - RCA Needed",IF(B195="Pending","Pending - No Action",IF(E195=0,"No Rate on File",IF(ABS(F195)&lt;=0.05,"Within Threshold",IF(D195&lt;E195,"Underpaid - Escalate","Overpaid - Review")))))</f>
        <v>Overpaid - Review</v>
      </c>
      <c r="H195" s="7" t="str">
        <f aca="false">IF(AND(B195="Paid",ABS(F195)&gt;0.15,C195&gt;100),"High Priority Review","Standard")</f>
        <v>Standard</v>
      </c>
    </row>
    <row r="196" customFormat="false" ht="15" hidden="false" customHeight="false" outlineLevel="0" collapsed="false">
      <c r="A196" s="12" t="n">
        <f aca="false">Claims_Data!A196</f>
        <v>100195</v>
      </c>
      <c r="B196" s="12" t="str">
        <f aca="false">Claims_Data!J196</f>
        <v>Paid</v>
      </c>
      <c r="C196" s="13" t="n">
        <f aca="false">Claims_Data!G196</f>
        <v>154.66</v>
      </c>
      <c r="D196" s="13" t="n">
        <f aca="false">Claims_Data!H196</f>
        <v>129.78</v>
      </c>
      <c r="E196" s="13" t="n">
        <f aca="false">INDEX_MATCH_Analysis!H196</f>
        <v>118</v>
      </c>
      <c r="F196" s="17" t="n">
        <f aca="false">INDEX_MATCH_Analysis!J196</f>
        <v>0.0998305084745763</v>
      </c>
      <c r="G196" s="7" t="str">
        <f aca="false">IF(B196="Denied","Denied - RCA Needed",IF(B196="Pending","Pending - No Action",IF(E196=0,"No Rate on File",IF(ABS(F196)&lt;=0.05,"Within Threshold",IF(D196&lt;E196,"Underpaid - Escalate","Overpaid - Review")))))</f>
        <v>Overpaid - Review</v>
      </c>
      <c r="H196" s="7" t="str">
        <f aca="false">IF(AND(B196="Paid",ABS(F196)&gt;0.15,C196&gt;100),"High Priority Review","Standard")</f>
        <v>Standard</v>
      </c>
    </row>
    <row r="197" customFormat="false" ht="15" hidden="false" customHeight="false" outlineLevel="0" collapsed="false">
      <c r="A197" s="12" t="n">
        <f aca="false">Claims_Data!A197</f>
        <v>100196</v>
      </c>
      <c r="B197" s="12" t="str">
        <f aca="false">Claims_Data!J197</f>
        <v>Paid</v>
      </c>
      <c r="C197" s="13" t="n">
        <f aca="false">Claims_Data!G197</f>
        <v>23.75</v>
      </c>
      <c r="D197" s="13" t="n">
        <f aca="false">Claims_Data!H197</f>
        <v>16.45</v>
      </c>
      <c r="E197" s="13" t="n">
        <f aca="false">INDEX_MATCH_Analysis!H197</f>
        <v>16</v>
      </c>
      <c r="F197" s="17" t="n">
        <f aca="false">INDEX_MATCH_Analysis!J197</f>
        <v>0.028125</v>
      </c>
      <c r="G197" s="7" t="str">
        <f aca="false">IF(B197="Denied","Denied - RCA Needed",IF(B197="Pending","Pending - No Action",IF(E197=0,"No Rate on File",IF(ABS(F197)&lt;=0.05,"Within Threshold",IF(D197&lt;E197,"Underpaid - Escalate","Overpaid - Review")))))</f>
        <v>Within Threshold</v>
      </c>
      <c r="H197" s="7" t="str">
        <f aca="false">IF(AND(B197="Paid",ABS(F197)&gt;0.15,C197&gt;100),"High Priority Review","Standard")</f>
        <v>Standard</v>
      </c>
    </row>
    <row r="198" customFormat="false" ht="15" hidden="false" customHeight="false" outlineLevel="0" collapsed="false">
      <c r="A198" s="12" t="n">
        <f aca="false">Claims_Data!A198</f>
        <v>100197</v>
      </c>
      <c r="B198" s="12" t="str">
        <f aca="false">Claims_Data!J198</f>
        <v>Paid</v>
      </c>
      <c r="C198" s="13" t="n">
        <f aca="false">Claims_Data!G198</f>
        <v>45.72</v>
      </c>
      <c r="D198" s="13" t="n">
        <f aca="false">Claims_Data!H198</f>
        <v>35.85</v>
      </c>
      <c r="E198" s="13" t="n">
        <f aca="false">INDEX_MATCH_Analysis!H198</f>
        <v>36</v>
      </c>
      <c r="F198" s="17" t="n">
        <f aca="false">INDEX_MATCH_Analysis!J198</f>
        <v>-0.00416666666666663</v>
      </c>
      <c r="G198" s="7" t="str">
        <f aca="false">IF(B198="Denied","Denied - RCA Needed",IF(B198="Pending","Pending - No Action",IF(E198=0,"No Rate on File",IF(ABS(F198)&lt;=0.05,"Within Threshold",IF(D198&lt;E198,"Underpaid - Escalate","Overpaid - Review")))))</f>
        <v>Within Threshold</v>
      </c>
      <c r="H198" s="7" t="str">
        <f aca="false">IF(AND(B198="Paid",ABS(F198)&gt;0.15,C198&gt;100),"High Priority Review","Standard")</f>
        <v>Standard</v>
      </c>
    </row>
    <row r="199" customFormat="false" ht="15" hidden="false" customHeight="false" outlineLevel="0" collapsed="false">
      <c r="A199" s="12" t="n">
        <f aca="false">Claims_Data!A199</f>
        <v>100198</v>
      </c>
      <c r="B199" s="12" t="str">
        <f aca="false">Claims_Data!J199</f>
        <v>Paid</v>
      </c>
      <c r="C199" s="13" t="n">
        <f aca="false">Claims_Data!G199</f>
        <v>162.49</v>
      </c>
      <c r="D199" s="13" t="n">
        <f aca="false">Claims_Data!H199</f>
        <v>137.84</v>
      </c>
      <c r="E199" s="13" t="n">
        <f aca="false">INDEX_MATCH_Analysis!H199</f>
        <v>137</v>
      </c>
      <c r="F199" s="17" t="n">
        <f aca="false">INDEX_MATCH_Analysis!J199</f>
        <v>0.00613138686131389</v>
      </c>
      <c r="G199" s="7" t="str">
        <f aca="false">IF(B199="Denied","Denied - RCA Needed",IF(B199="Pending","Pending - No Action",IF(E199=0,"No Rate on File",IF(ABS(F199)&lt;=0.05,"Within Threshold",IF(D199&lt;E199,"Underpaid - Escalate","Overpaid - Review")))))</f>
        <v>Within Threshold</v>
      </c>
      <c r="H199" s="7" t="str">
        <f aca="false">IF(AND(B199="Paid",ABS(F199)&gt;0.15,C199&gt;100),"High Priority Review","Standard")</f>
        <v>Standard</v>
      </c>
    </row>
    <row r="200" customFormat="false" ht="15" hidden="false" customHeight="false" outlineLevel="0" collapsed="false">
      <c r="A200" s="12" t="n">
        <f aca="false">Claims_Data!A200</f>
        <v>100199</v>
      </c>
      <c r="B200" s="12" t="str">
        <f aca="false">Claims_Data!J200</f>
        <v>Paid</v>
      </c>
      <c r="C200" s="13" t="n">
        <f aca="false">Claims_Data!G200</f>
        <v>252.68</v>
      </c>
      <c r="D200" s="13" t="n">
        <f aca="false">Claims_Data!H200</f>
        <v>213.6</v>
      </c>
      <c r="E200" s="13" t="n">
        <f aca="false">INDEX_MATCH_Analysis!H200</f>
        <v>187</v>
      </c>
      <c r="F200" s="17" t="n">
        <f aca="false">INDEX_MATCH_Analysis!J200</f>
        <v>0.142245989304813</v>
      </c>
      <c r="G200" s="7" t="str">
        <f aca="false">IF(B200="Denied","Denied - RCA Needed",IF(B200="Pending","Pending - No Action",IF(E200=0,"No Rate on File",IF(ABS(F200)&lt;=0.05,"Within Threshold",IF(D200&lt;E200,"Underpaid - Escalate","Overpaid - Review")))))</f>
        <v>Overpaid - Review</v>
      </c>
      <c r="H200" s="7" t="str">
        <f aca="false">IF(AND(B200="Paid",ABS(F200)&gt;0.15,C200&gt;100),"High Priority Review","Standard")</f>
        <v>Standard</v>
      </c>
    </row>
    <row r="201" customFormat="false" ht="15" hidden="false" customHeight="false" outlineLevel="0" collapsed="false">
      <c r="A201" s="12" t="n">
        <f aca="false">Claims_Data!A201</f>
        <v>100200</v>
      </c>
      <c r="B201" s="12" t="str">
        <f aca="false">Claims_Data!J201</f>
        <v>Paid</v>
      </c>
      <c r="C201" s="13" t="n">
        <f aca="false">Claims_Data!G201</f>
        <v>185.86</v>
      </c>
      <c r="D201" s="13" t="n">
        <f aca="false">Claims_Data!H201</f>
        <v>129.92</v>
      </c>
      <c r="E201" s="13" t="n">
        <f aca="false">INDEX_MATCH_Analysis!H201</f>
        <v>128</v>
      </c>
      <c r="F201" s="17" t="n">
        <f aca="false">INDEX_MATCH_Analysis!J201</f>
        <v>0.0149999999999999</v>
      </c>
      <c r="G201" s="7" t="str">
        <f aca="false">IF(B201="Denied","Denied - RCA Needed",IF(B201="Pending","Pending - No Action",IF(E201=0,"No Rate on File",IF(ABS(F201)&lt;=0.05,"Within Threshold",IF(D201&lt;E201,"Underpaid - Escalate","Overpaid - Review")))))</f>
        <v>Within Threshold</v>
      </c>
      <c r="H201" s="7" t="str">
        <f aca="false">IF(AND(B201="Paid",ABS(F201)&gt;0.15,C201&gt;100),"High Priority Review","Standard")</f>
        <v>Standard</v>
      </c>
    </row>
    <row r="202" customFormat="false" ht="15" hidden="false" customHeight="false" outlineLevel="0" collapsed="false">
      <c r="A202" s="12" t="n">
        <f aca="false">Claims_Data!A202</f>
        <v>100201</v>
      </c>
      <c r="B202" s="12" t="str">
        <f aca="false">Claims_Data!J202</f>
        <v>Paid</v>
      </c>
      <c r="C202" s="13" t="n">
        <f aca="false">Claims_Data!G202</f>
        <v>46.56</v>
      </c>
      <c r="D202" s="13" t="n">
        <f aca="false">Claims_Data!H202</f>
        <v>31.49</v>
      </c>
      <c r="E202" s="13" t="n">
        <f aca="false">INDEX_MATCH_Analysis!H202</f>
        <v>32</v>
      </c>
      <c r="F202" s="17" t="n">
        <f aca="false">INDEX_MATCH_Analysis!J202</f>
        <v>-0.0159375000000001</v>
      </c>
      <c r="G202" s="7" t="str">
        <f aca="false">IF(B202="Denied","Denied - RCA Needed",IF(B202="Pending","Pending - No Action",IF(E202=0,"No Rate on File",IF(ABS(F202)&lt;=0.05,"Within Threshold",IF(D202&lt;E202,"Underpaid - Escalate","Overpaid - Review")))))</f>
        <v>Within Threshold</v>
      </c>
      <c r="H202" s="7" t="str">
        <f aca="false">IF(AND(B202="Paid",ABS(F202)&gt;0.15,C202&gt;100),"High Priority Review","Standard")</f>
        <v>Standard</v>
      </c>
    </row>
    <row r="203" customFormat="false" ht="15" hidden="false" customHeight="false" outlineLevel="0" collapsed="false">
      <c r="A203" s="12" t="n">
        <f aca="false">Claims_Data!A203</f>
        <v>100202</v>
      </c>
      <c r="B203" s="12" t="str">
        <f aca="false">Claims_Data!J203</f>
        <v>Paid</v>
      </c>
      <c r="C203" s="13" t="n">
        <f aca="false">Claims_Data!G203</f>
        <v>72.2</v>
      </c>
      <c r="D203" s="13" t="n">
        <f aca="false">Claims_Data!H203</f>
        <v>61.52</v>
      </c>
      <c r="E203" s="13" t="n">
        <f aca="false">INDEX_MATCH_Analysis!H203</f>
        <v>62</v>
      </c>
      <c r="F203" s="17" t="n">
        <f aca="false">INDEX_MATCH_Analysis!J203</f>
        <v>-0.00774193548387092</v>
      </c>
      <c r="G203" s="7" t="str">
        <f aca="false">IF(B203="Denied","Denied - RCA Needed",IF(B203="Pending","Pending - No Action",IF(E203=0,"No Rate on File",IF(ABS(F203)&lt;=0.05,"Within Threshold",IF(D203&lt;E203,"Underpaid - Escalate","Overpaid - Review")))))</f>
        <v>Within Threshold</v>
      </c>
      <c r="H203" s="7" t="str">
        <f aca="false">IF(AND(B203="Paid",ABS(F203)&gt;0.15,C203&gt;100),"High Priority Review","Standard")</f>
        <v>Standard</v>
      </c>
    </row>
    <row r="204" customFormat="false" ht="15" hidden="false" customHeight="false" outlineLevel="0" collapsed="false">
      <c r="A204" s="12" t="n">
        <f aca="false">Claims_Data!A204</f>
        <v>100203</v>
      </c>
      <c r="B204" s="12" t="str">
        <f aca="false">Claims_Data!J204</f>
        <v>Paid</v>
      </c>
      <c r="C204" s="13" t="n">
        <f aca="false">Claims_Data!G204</f>
        <v>327.63</v>
      </c>
      <c r="D204" s="13" t="n">
        <f aca="false">Claims_Data!H204</f>
        <v>232.45</v>
      </c>
      <c r="E204" s="13" t="n">
        <f aca="false">INDEX_MATCH_Analysis!H204</f>
        <v>236</v>
      </c>
      <c r="F204" s="17" t="n">
        <f aca="false">INDEX_MATCH_Analysis!J204</f>
        <v>-0.015042372881356</v>
      </c>
      <c r="G204" s="7" t="str">
        <f aca="false">IF(B204="Denied","Denied - RCA Needed",IF(B204="Pending","Pending - No Action",IF(E204=0,"No Rate on File",IF(ABS(F204)&lt;=0.05,"Within Threshold",IF(D204&lt;E204,"Underpaid - Escalate","Overpaid - Review")))))</f>
        <v>Within Threshold</v>
      </c>
      <c r="H204" s="7" t="str">
        <f aca="false">IF(AND(B204="Paid",ABS(F204)&gt;0.15,C204&gt;100),"High Priority Review","Standard")</f>
        <v>Standard</v>
      </c>
    </row>
    <row r="205" customFormat="false" ht="15" hidden="false" customHeight="false" outlineLevel="0" collapsed="false">
      <c r="A205" s="12" t="n">
        <f aca="false">Claims_Data!A205</f>
        <v>100204</v>
      </c>
      <c r="B205" s="12" t="str">
        <f aca="false">Claims_Data!J205</f>
        <v>Paid</v>
      </c>
      <c r="C205" s="13" t="n">
        <f aca="false">Claims_Data!G205</f>
        <v>19.36</v>
      </c>
      <c r="D205" s="13" t="n">
        <f aca="false">Claims_Data!H205</f>
        <v>14.23</v>
      </c>
      <c r="E205" s="13" t="n">
        <f aca="false">INDEX_MATCH_Analysis!H205</f>
        <v>14</v>
      </c>
      <c r="F205" s="17" t="n">
        <f aca="false">INDEX_MATCH_Analysis!J205</f>
        <v>0.0164285714285715</v>
      </c>
      <c r="G205" s="7" t="str">
        <f aca="false">IF(B205="Denied","Denied - RCA Needed",IF(B205="Pending","Pending - No Action",IF(E205=0,"No Rate on File",IF(ABS(F205)&lt;=0.05,"Within Threshold",IF(D205&lt;E205,"Underpaid - Escalate","Overpaid - Review")))))</f>
        <v>Within Threshold</v>
      </c>
      <c r="H205" s="7" t="str">
        <f aca="false">IF(AND(B205="Paid",ABS(F205)&gt;0.15,C205&gt;100),"High Priority Review","Standard")</f>
        <v>Standard</v>
      </c>
    </row>
    <row r="206" customFormat="false" ht="15" hidden="false" customHeight="false" outlineLevel="0" collapsed="false">
      <c r="A206" s="12" t="n">
        <f aca="false">Claims_Data!A206</f>
        <v>100205</v>
      </c>
      <c r="B206" s="12" t="str">
        <f aca="false">Claims_Data!J206</f>
        <v>Pending</v>
      </c>
      <c r="C206" s="13" t="n">
        <f aca="false">Claims_Data!G206</f>
        <v>336.33</v>
      </c>
      <c r="D206" s="13" t="n">
        <f aca="false">Claims_Data!H206</f>
        <v>0</v>
      </c>
      <c r="E206" s="13" t="n">
        <f aca="false">INDEX_MATCH_Analysis!H206</f>
        <v>230</v>
      </c>
      <c r="F206" s="17" t="n">
        <f aca="false">INDEX_MATCH_Analysis!J206</f>
        <v>-1</v>
      </c>
      <c r="G206" s="7" t="str">
        <f aca="false">IF(B206="Denied","Denied - RCA Needed",IF(B206="Pending","Pending - No Action",IF(E206=0,"No Rate on File",IF(ABS(F206)&lt;=0.05,"Within Threshold",IF(D206&lt;E206,"Underpaid - Escalate","Overpaid - Review")))))</f>
        <v>Pending - No Action</v>
      </c>
      <c r="H206" s="7" t="str">
        <f aca="false">IF(AND(B206="Paid",ABS(F206)&gt;0.15,C206&gt;100),"High Priority Review","Standard")</f>
        <v>Standard</v>
      </c>
    </row>
    <row r="207" customFormat="false" ht="15" hidden="false" customHeight="false" outlineLevel="0" collapsed="false">
      <c r="A207" s="12" t="n">
        <f aca="false">Claims_Data!A207</f>
        <v>100206</v>
      </c>
      <c r="B207" s="12" t="str">
        <f aca="false">Claims_Data!J207</f>
        <v>Paid</v>
      </c>
      <c r="C207" s="13" t="n">
        <f aca="false">Claims_Data!G207</f>
        <v>113.69</v>
      </c>
      <c r="D207" s="13" t="n">
        <f aca="false">Claims_Data!H207</f>
        <v>81.92</v>
      </c>
      <c r="E207" s="13" t="n">
        <f aca="false">INDEX_MATCH_Analysis!H207</f>
        <v>84</v>
      </c>
      <c r="F207" s="17" t="n">
        <f aca="false">INDEX_MATCH_Analysis!J207</f>
        <v>-0.0247619047619047</v>
      </c>
      <c r="G207" s="7" t="str">
        <f aca="false">IF(B207="Denied","Denied - RCA Needed",IF(B207="Pending","Pending - No Action",IF(E207=0,"No Rate on File",IF(ABS(F207)&lt;=0.05,"Within Threshold",IF(D207&lt;E207,"Underpaid - Escalate","Overpaid - Review")))))</f>
        <v>Within Threshold</v>
      </c>
      <c r="H207" s="7" t="str">
        <f aca="false">IF(AND(B207="Paid",ABS(F207)&gt;0.15,C207&gt;100),"High Priority Review","Standard")</f>
        <v>Standard</v>
      </c>
    </row>
    <row r="208" customFormat="false" ht="15" hidden="false" customHeight="false" outlineLevel="0" collapsed="false">
      <c r="A208" s="12" t="n">
        <f aca="false">Claims_Data!A208</f>
        <v>100207</v>
      </c>
      <c r="B208" s="12" t="str">
        <f aca="false">Claims_Data!J208</f>
        <v>Paid</v>
      </c>
      <c r="C208" s="13" t="n">
        <f aca="false">Claims_Data!G208</f>
        <v>47.4</v>
      </c>
      <c r="D208" s="13" t="n">
        <f aca="false">Claims_Data!H208</f>
        <v>39.33</v>
      </c>
      <c r="E208" s="13" t="n">
        <f aca="false">INDEX_MATCH_Analysis!H208</f>
        <v>34</v>
      </c>
      <c r="F208" s="17" t="n">
        <f aca="false">INDEX_MATCH_Analysis!J208</f>
        <v>0.156764705882353</v>
      </c>
      <c r="G208" s="7" t="str">
        <f aca="false">IF(B208="Denied","Denied - RCA Needed",IF(B208="Pending","Pending - No Action",IF(E208=0,"No Rate on File",IF(ABS(F208)&lt;=0.05,"Within Threshold",IF(D208&lt;E208,"Underpaid - Escalate","Overpaid - Review")))))</f>
        <v>Overpaid - Review</v>
      </c>
      <c r="H208" s="7" t="str">
        <f aca="false">IF(AND(B208="Paid",ABS(F208)&gt;0.15,C208&gt;100),"High Priority Review","Standard")</f>
        <v>Standard</v>
      </c>
    </row>
    <row r="209" customFormat="false" ht="15" hidden="false" customHeight="false" outlineLevel="0" collapsed="false">
      <c r="A209" s="12" t="n">
        <f aca="false">Claims_Data!A209</f>
        <v>100208</v>
      </c>
      <c r="B209" s="12" t="str">
        <f aca="false">Claims_Data!J209</f>
        <v>Paid</v>
      </c>
      <c r="C209" s="13" t="n">
        <f aca="false">Claims_Data!G209</f>
        <v>174.67</v>
      </c>
      <c r="D209" s="13" t="n">
        <f aca="false">Claims_Data!H209</f>
        <v>147.53</v>
      </c>
      <c r="E209" s="13" t="n">
        <f aca="false">INDEX_MATCH_Analysis!H209</f>
        <v>145</v>
      </c>
      <c r="F209" s="17" t="n">
        <f aca="false">INDEX_MATCH_Analysis!J209</f>
        <v>0.017448275862069</v>
      </c>
      <c r="G209" s="7" t="str">
        <f aca="false">IF(B209="Denied","Denied - RCA Needed",IF(B209="Pending","Pending - No Action",IF(E209=0,"No Rate on File",IF(ABS(F209)&lt;=0.05,"Within Threshold",IF(D209&lt;E209,"Underpaid - Escalate","Overpaid - Review")))))</f>
        <v>Within Threshold</v>
      </c>
      <c r="H209" s="7" t="str">
        <f aca="false">IF(AND(B209="Paid",ABS(F209)&gt;0.15,C209&gt;100),"High Priority Review","Standard")</f>
        <v>Standard</v>
      </c>
    </row>
    <row r="210" customFormat="false" ht="15" hidden="false" customHeight="false" outlineLevel="0" collapsed="false">
      <c r="A210" s="12" t="n">
        <f aca="false">Claims_Data!A210</f>
        <v>100209</v>
      </c>
      <c r="B210" s="12" t="str">
        <f aca="false">Claims_Data!J210</f>
        <v>Paid</v>
      </c>
      <c r="C210" s="13" t="n">
        <f aca="false">Claims_Data!G210</f>
        <v>81.59</v>
      </c>
      <c r="D210" s="13" t="n">
        <f aca="false">Claims_Data!H210</f>
        <v>62.42</v>
      </c>
      <c r="E210" s="13" t="n">
        <f aca="false">INDEX_MATCH_Analysis!H210</f>
        <v>62</v>
      </c>
      <c r="F210" s="17" t="n">
        <f aca="false">INDEX_MATCH_Analysis!J210</f>
        <v>0.00677419354838712</v>
      </c>
      <c r="G210" s="7" t="str">
        <f aca="false">IF(B210="Denied","Denied - RCA Needed",IF(B210="Pending","Pending - No Action",IF(E210=0,"No Rate on File",IF(ABS(F210)&lt;=0.05,"Within Threshold",IF(D210&lt;E210,"Underpaid - Escalate","Overpaid - Review")))))</f>
        <v>Within Threshold</v>
      </c>
      <c r="H210" s="7" t="str">
        <f aca="false">IF(AND(B210="Paid",ABS(F210)&gt;0.15,C210&gt;100),"High Priority Review","Standard")</f>
        <v>Standard</v>
      </c>
    </row>
    <row r="211" customFormat="false" ht="15" hidden="false" customHeight="false" outlineLevel="0" collapsed="false">
      <c r="A211" s="12" t="n">
        <f aca="false">Claims_Data!A211</f>
        <v>100210</v>
      </c>
      <c r="B211" s="12" t="str">
        <f aca="false">Claims_Data!J211</f>
        <v>Paid</v>
      </c>
      <c r="C211" s="13" t="n">
        <f aca="false">Claims_Data!G211</f>
        <v>20.8</v>
      </c>
      <c r="D211" s="13" t="n">
        <f aca="false">Claims_Data!H211</f>
        <v>13.21</v>
      </c>
      <c r="E211" s="13" t="n">
        <f aca="false">INDEX_MATCH_Analysis!H211</f>
        <v>13</v>
      </c>
      <c r="F211" s="17" t="n">
        <f aca="false">INDEX_MATCH_Analysis!J211</f>
        <v>0.0161538461538462</v>
      </c>
      <c r="G211" s="7" t="str">
        <f aca="false">IF(B211="Denied","Denied - RCA Needed",IF(B211="Pending","Pending - No Action",IF(E211=0,"No Rate on File",IF(ABS(F211)&lt;=0.05,"Within Threshold",IF(D211&lt;E211,"Underpaid - Escalate","Overpaid - Review")))))</f>
        <v>Within Threshold</v>
      </c>
      <c r="H211" s="7" t="str">
        <f aca="false">IF(AND(B211="Paid",ABS(F211)&gt;0.15,C211&gt;100),"High Priority Review","Standard")</f>
        <v>Standard</v>
      </c>
    </row>
    <row r="212" customFormat="false" ht="15" hidden="false" customHeight="false" outlineLevel="0" collapsed="false">
      <c r="A212" s="12" t="n">
        <f aca="false">Claims_Data!A212</f>
        <v>100211</v>
      </c>
      <c r="B212" s="12" t="str">
        <f aca="false">Claims_Data!J212</f>
        <v>Paid</v>
      </c>
      <c r="C212" s="13" t="n">
        <f aca="false">Claims_Data!G212</f>
        <v>185.29</v>
      </c>
      <c r="D212" s="13" t="n">
        <f aca="false">Claims_Data!H212</f>
        <v>140.11</v>
      </c>
      <c r="E212" s="13" t="n">
        <f aca="false">INDEX_MATCH_Analysis!H212</f>
        <v>137</v>
      </c>
      <c r="F212" s="17" t="n">
        <f aca="false">INDEX_MATCH_Analysis!J212</f>
        <v>0.0227007299270074</v>
      </c>
      <c r="G212" s="7" t="str">
        <f aca="false">IF(B212="Denied","Denied - RCA Needed",IF(B212="Pending","Pending - No Action",IF(E212=0,"No Rate on File",IF(ABS(F212)&lt;=0.05,"Within Threshold",IF(D212&lt;E212,"Underpaid - Escalate","Overpaid - Review")))))</f>
        <v>Within Threshold</v>
      </c>
      <c r="H212" s="7" t="str">
        <f aca="false">IF(AND(B212="Paid",ABS(F212)&gt;0.15,C212&gt;100),"High Priority Review","Standard")</f>
        <v>Standard</v>
      </c>
    </row>
    <row r="213" customFormat="false" ht="15" hidden="false" customHeight="false" outlineLevel="0" collapsed="false">
      <c r="A213" s="12" t="n">
        <f aca="false">Claims_Data!A213</f>
        <v>100212</v>
      </c>
      <c r="B213" s="12" t="str">
        <f aca="false">Claims_Data!J213</f>
        <v>Paid</v>
      </c>
      <c r="C213" s="13" t="n">
        <f aca="false">Claims_Data!G213</f>
        <v>68.63</v>
      </c>
      <c r="D213" s="13" t="n">
        <f aca="false">Claims_Data!H213</f>
        <v>43.08</v>
      </c>
      <c r="E213" s="13" t="n">
        <f aca="false">INDEX_MATCH_Analysis!H213</f>
        <v>44</v>
      </c>
      <c r="F213" s="17" t="n">
        <f aca="false">INDEX_MATCH_Analysis!J213</f>
        <v>-0.0209090909090909</v>
      </c>
      <c r="G213" s="7" t="str">
        <f aca="false">IF(B213="Denied","Denied - RCA Needed",IF(B213="Pending","Pending - No Action",IF(E213=0,"No Rate on File",IF(ABS(F213)&lt;=0.05,"Within Threshold",IF(D213&lt;E213,"Underpaid - Escalate","Overpaid - Review")))))</f>
        <v>Within Threshold</v>
      </c>
      <c r="H213" s="7" t="str">
        <f aca="false">IF(AND(B213="Paid",ABS(F213)&gt;0.15,C213&gt;100),"High Priority Review","Standard")</f>
        <v>Standard</v>
      </c>
    </row>
    <row r="214" customFormat="false" ht="15" hidden="false" customHeight="false" outlineLevel="0" collapsed="false">
      <c r="A214" s="12" t="n">
        <f aca="false">Claims_Data!A214</f>
        <v>100213</v>
      </c>
      <c r="B214" s="12" t="str">
        <f aca="false">Claims_Data!J214</f>
        <v>Denied</v>
      </c>
      <c r="C214" s="13" t="n">
        <f aca="false">Claims_Data!G214</f>
        <v>156.69</v>
      </c>
      <c r="D214" s="13" t="n">
        <f aca="false">Claims_Data!H214</f>
        <v>0</v>
      </c>
      <c r="E214" s="13" t="n">
        <f aca="false">INDEX_MATCH_Analysis!H214</f>
        <v>120</v>
      </c>
      <c r="F214" s="17" t="n">
        <f aca="false">INDEX_MATCH_Analysis!J214</f>
        <v>-1</v>
      </c>
      <c r="G214" s="7" t="str">
        <f aca="false">IF(B214="Denied","Denied - RCA Needed",IF(B214="Pending","Pending - No Action",IF(E214=0,"No Rate on File",IF(ABS(F214)&lt;=0.05,"Within Threshold",IF(D214&lt;E214,"Underpaid - Escalate","Overpaid - Review")))))</f>
        <v>Denied - RCA Needed</v>
      </c>
      <c r="H214" s="7" t="str">
        <f aca="false">IF(AND(B214="Paid",ABS(F214)&gt;0.15,C214&gt;100),"High Priority Review","Standard")</f>
        <v>Standard</v>
      </c>
    </row>
    <row r="215" customFormat="false" ht="15" hidden="false" customHeight="false" outlineLevel="0" collapsed="false">
      <c r="A215" s="12" t="n">
        <f aca="false">Claims_Data!A215</f>
        <v>100214</v>
      </c>
      <c r="B215" s="12" t="str">
        <f aca="false">Claims_Data!J215</f>
        <v>Paid</v>
      </c>
      <c r="C215" s="13" t="n">
        <f aca="false">Claims_Data!G215</f>
        <v>28.02</v>
      </c>
      <c r="D215" s="13" t="n">
        <f aca="false">Claims_Data!H215</f>
        <v>21.46</v>
      </c>
      <c r="E215" s="13" t="n">
        <f aca="false">INDEX_MATCH_Analysis!H215</f>
        <v>22</v>
      </c>
      <c r="F215" s="17" t="n">
        <f aca="false">INDEX_MATCH_Analysis!J215</f>
        <v>-0.0245454545454545</v>
      </c>
      <c r="G215" s="7" t="str">
        <f aca="false">IF(B215="Denied","Denied - RCA Needed",IF(B215="Pending","Pending - No Action",IF(E215=0,"No Rate on File",IF(ABS(F215)&lt;=0.05,"Within Threshold",IF(D215&lt;E215,"Underpaid - Escalate","Overpaid - Review")))))</f>
        <v>Within Threshold</v>
      </c>
      <c r="H215" s="7" t="str">
        <f aca="false">IF(AND(B215="Paid",ABS(F215)&gt;0.15,C215&gt;100),"High Priority Review","Standard")</f>
        <v>Standard</v>
      </c>
    </row>
    <row r="216" customFormat="false" ht="15" hidden="false" customHeight="false" outlineLevel="0" collapsed="false">
      <c r="A216" s="12" t="n">
        <f aca="false">Claims_Data!A216</f>
        <v>100215</v>
      </c>
      <c r="B216" s="12" t="str">
        <f aca="false">Claims_Data!J216</f>
        <v>Paid</v>
      </c>
      <c r="C216" s="13" t="n">
        <f aca="false">Claims_Data!G216</f>
        <v>47.18</v>
      </c>
      <c r="D216" s="13" t="n">
        <f aca="false">Claims_Data!H216</f>
        <v>26.01</v>
      </c>
      <c r="E216" s="13" t="n">
        <f aca="false">INDEX_MATCH_Analysis!H216</f>
        <v>32</v>
      </c>
      <c r="F216" s="17" t="n">
        <f aca="false">INDEX_MATCH_Analysis!J216</f>
        <v>-0.1871875</v>
      </c>
      <c r="G216" s="7" t="str">
        <f aca="false">IF(B216="Denied","Denied - RCA Needed",IF(B216="Pending","Pending - No Action",IF(E216=0,"No Rate on File",IF(ABS(F216)&lt;=0.05,"Within Threshold",IF(D216&lt;E216,"Underpaid - Escalate","Overpaid - Review")))))</f>
        <v>Underpaid - Escalate</v>
      </c>
      <c r="H216" s="7" t="str">
        <f aca="false">IF(AND(B216="Paid",ABS(F216)&gt;0.15,C216&gt;100),"High Priority Review","Standard")</f>
        <v>Standard</v>
      </c>
    </row>
    <row r="217" customFormat="false" ht="15" hidden="false" customHeight="false" outlineLevel="0" collapsed="false">
      <c r="A217" s="12" t="n">
        <f aca="false">Claims_Data!A217</f>
        <v>100216</v>
      </c>
      <c r="B217" s="12" t="str">
        <f aca="false">Claims_Data!J217</f>
        <v>Paid</v>
      </c>
      <c r="C217" s="13" t="n">
        <f aca="false">Claims_Data!G217</f>
        <v>60.92</v>
      </c>
      <c r="D217" s="13" t="n">
        <f aca="false">Claims_Data!H217</f>
        <v>48.34</v>
      </c>
      <c r="E217" s="13" t="n">
        <f aca="false">INDEX_MATCH_Analysis!H217</f>
        <v>48</v>
      </c>
      <c r="F217" s="17" t="n">
        <f aca="false">INDEX_MATCH_Analysis!J217</f>
        <v>0.0070833333333334</v>
      </c>
      <c r="G217" s="7" t="str">
        <f aca="false">IF(B217="Denied","Denied - RCA Needed",IF(B217="Pending","Pending - No Action",IF(E217=0,"No Rate on File",IF(ABS(F217)&lt;=0.05,"Within Threshold",IF(D217&lt;E217,"Underpaid - Escalate","Overpaid - Review")))))</f>
        <v>Within Threshold</v>
      </c>
      <c r="H217" s="7" t="str">
        <f aca="false">IF(AND(B217="Paid",ABS(F217)&gt;0.15,C217&gt;100),"High Priority Review","Standard")</f>
        <v>Standard</v>
      </c>
    </row>
    <row r="218" customFormat="false" ht="15" hidden="false" customHeight="false" outlineLevel="0" collapsed="false">
      <c r="A218" s="12" t="n">
        <f aca="false">Claims_Data!A218</f>
        <v>100217</v>
      </c>
      <c r="B218" s="12" t="str">
        <f aca="false">Claims_Data!J218</f>
        <v>Paid</v>
      </c>
      <c r="C218" s="13" t="n">
        <f aca="false">Claims_Data!G218</f>
        <v>330.94</v>
      </c>
      <c r="D218" s="13" t="n">
        <f aca="false">Claims_Data!H218</f>
        <v>234.24</v>
      </c>
      <c r="E218" s="13" t="n">
        <f aca="false">INDEX_MATCH_Analysis!H218</f>
        <v>230</v>
      </c>
      <c r="F218" s="17" t="n">
        <f aca="false">INDEX_MATCH_Analysis!J218</f>
        <v>0.0184347826086957</v>
      </c>
      <c r="G218" s="7" t="str">
        <f aca="false">IF(B218="Denied","Denied - RCA Needed",IF(B218="Pending","Pending - No Action",IF(E218=0,"No Rate on File",IF(ABS(F218)&lt;=0.05,"Within Threshold",IF(D218&lt;E218,"Underpaid - Escalate","Overpaid - Review")))))</f>
        <v>Within Threshold</v>
      </c>
      <c r="H218" s="7" t="str">
        <f aca="false">IF(AND(B218="Paid",ABS(F218)&gt;0.15,C218&gt;100),"High Priority Review","Standard")</f>
        <v>Standard</v>
      </c>
    </row>
    <row r="219" customFormat="false" ht="15" hidden="false" customHeight="false" outlineLevel="0" collapsed="false">
      <c r="A219" s="12" t="n">
        <f aca="false">Claims_Data!A219</f>
        <v>100218</v>
      </c>
      <c r="B219" s="12" t="str">
        <f aca="false">Claims_Data!J219</f>
        <v>Paid</v>
      </c>
      <c r="C219" s="13" t="n">
        <f aca="false">Claims_Data!G219</f>
        <v>240.88</v>
      </c>
      <c r="D219" s="13" t="n">
        <f aca="false">Claims_Data!H219</f>
        <v>164.65</v>
      </c>
      <c r="E219" s="13" t="n">
        <f aca="false">INDEX_MATCH_Analysis!H219</f>
        <v>165</v>
      </c>
      <c r="F219" s="17" t="n">
        <f aca="false">INDEX_MATCH_Analysis!J219</f>
        <v>-0.00212121212121209</v>
      </c>
      <c r="G219" s="7" t="str">
        <f aca="false">IF(B219="Denied","Denied - RCA Needed",IF(B219="Pending","Pending - No Action",IF(E219=0,"No Rate on File",IF(ABS(F219)&lt;=0.05,"Within Threshold",IF(D219&lt;E219,"Underpaid - Escalate","Overpaid - Review")))))</f>
        <v>Within Threshold</v>
      </c>
      <c r="H219" s="7" t="str">
        <f aca="false">IF(AND(B219="Paid",ABS(F219)&gt;0.15,C219&gt;100),"High Priority Review","Standard")</f>
        <v>Standard</v>
      </c>
    </row>
    <row r="220" customFormat="false" ht="15" hidden="false" customHeight="false" outlineLevel="0" collapsed="false">
      <c r="A220" s="12" t="n">
        <f aca="false">Claims_Data!A220</f>
        <v>100219</v>
      </c>
      <c r="B220" s="12" t="str">
        <f aca="false">Claims_Data!J220</f>
        <v>Paid</v>
      </c>
      <c r="C220" s="13" t="n">
        <f aca="false">Claims_Data!G220</f>
        <v>229.46</v>
      </c>
      <c r="D220" s="13" t="n">
        <f aca="false">Claims_Data!H220</f>
        <v>165.79</v>
      </c>
      <c r="E220" s="13" t="n">
        <f aca="false">INDEX_MATCH_Analysis!H220</f>
        <v>155</v>
      </c>
      <c r="F220" s="17" t="n">
        <f aca="false">INDEX_MATCH_Analysis!J220</f>
        <v>0.0696129032258064</v>
      </c>
      <c r="G220" s="7" t="str">
        <f aca="false">IF(B220="Denied","Denied - RCA Needed",IF(B220="Pending","Pending - No Action",IF(E220=0,"No Rate on File",IF(ABS(F220)&lt;=0.05,"Within Threshold",IF(D220&lt;E220,"Underpaid - Escalate","Overpaid - Review")))))</f>
        <v>Overpaid - Review</v>
      </c>
      <c r="H220" s="7" t="str">
        <f aca="false">IF(AND(B220="Paid",ABS(F220)&gt;0.15,C220&gt;100),"High Priority Review","Standard")</f>
        <v>Standard</v>
      </c>
    </row>
    <row r="221" customFormat="false" ht="15" hidden="false" customHeight="false" outlineLevel="0" collapsed="false">
      <c r="A221" s="12" t="n">
        <f aca="false">Claims_Data!A221</f>
        <v>100220</v>
      </c>
      <c r="B221" s="12" t="str">
        <f aca="false">Claims_Data!J221</f>
        <v>Paid</v>
      </c>
      <c r="C221" s="13" t="n">
        <f aca="false">Claims_Data!G221</f>
        <v>163.19</v>
      </c>
      <c r="D221" s="13" t="n">
        <f aca="false">Claims_Data!H221</f>
        <v>117.1</v>
      </c>
      <c r="E221" s="13" t="n">
        <f aca="false">INDEX_MATCH_Analysis!H221</f>
        <v>120</v>
      </c>
      <c r="F221" s="17" t="n">
        <f aca="false">INDEX_MATCH_Analysis!J221</f>
        <v>-0.0241666666666667</v>
      </c>
      <c r="G221" s="7" t="str">
        <f aca="false">IF(B221="Denied","Denied - RCA Needed",IF(B221="Pending","Pending - No Action",IF(E221=0,"No Rate on File",IF(ABS(F221)&lt;=0.05,"Within Threshold",IF(D221&lt;E221,"Underpaid - Escalate","Overpaid - Review")))))</f>
        <v>Within Threshold</v>
      </c>
      <c r="H221" s="7" t="str">
        <f aca="false">IF(AND(B221="Paid",ABS(F221)&gt;0.15,C221&gt;100),"High Priority Review","Standard")</f>
        <v>Standard</v>
      </c>
    </row>
    <row r="224" customFormat="false" ht="45" hidden="false" customHeight="true" outlineLevel="0" collapsed="false">
      <c r="A224" s="15" t="s">
        <v>257</v>
      </c>
      <c r="B224" s="15"/>
      <c r="C224" s="15"/>
      <c r="D224" s="15"/>
      <c r="E224" s="15"/>
      <c r="F224" s="15"/>
      <c r="G224" s="15"/>
      <c r="H224" s="15"/>
    </row>
  </sheetData>
  <mergeCells count="1">
    <mergeCell ref="A224:H2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8" t="s">
        <v>258</v>
      </c>
    </row>
    <row r="2" customFormat="false" ht="30" hidden="false" customHeight="true" outlineLevel="0" collapsed="false">
      <c r="A2" s="15" t="s">
        <v>259</v>
      </c>
      <c r="B2" s="15"/>
      <c r="C2" s="15"/>
      <c r="D2" s="15"/>
      <c r="E2" s="15"/>
      <c r="F2" s="15"/>
      <c r="G2" s="15"/>
      <c r="H2" s="15"/>
    </row>
    <row r="4" customFormat="false" ht="15" hidden="false" customHeight="false" outlineLevel="0" collapsed="false">
      <c r="A4" s="19" t="s">
        <v>260</v>
      </c>
    </row>
    <row r="6" customFormat="false" ht="23.85" hidden="false" customHeight="false" outlineLevel="0" collapsed="false">
      <c r="A6" s="6" t="s">
        <v>261</v>
      </c>
      <c r="B6" s="6" t="s">
        <v>61</v>
      </c>
      <c r="C6" s="6" t="s">
        <v>62</v>
      </c>
      <c r="D6" s="6" t="s">
        <v>63</v>
      </c>
      <c r="E6" s="6" t="s">
        <v>64</v>
      </c>
      <c r="F6" s="6" t="s">
        <v>65</v>
      </c>
      <c r="G6" s="6" t="s">
        <v>262</v>
      </c>
    </row>
    <row r="7" customFormat="false" ht="15" hidden="false" customHeight="false" outlineLevel="0" collapsed="false">
      <c r="A7" s="20" t="s">
        <v>75</v>
      </c>
      <c r="B7" s="14" t="n">
        <f aca="false">SUMIFS(Claims_Data!$H$2:$H$221,Claims_Data!$C$2:$C$221,$A7,Claims_Data!$D$2:$D$221,B$6)</f>
        <v>1356.12</v>
      </c>
      <c r="C7" s="14" t="n">
        <f aca="false">SUMIFS(Claims_Data!$H$2:$H$221,Claims_Data!$C$2:$C$221,$A7,Claims_Data!$D$2:$D$221,C$6)</f>
        <v>870.15</v>
      </c>
      <c r="D7" s="14" t="n">
        <f aca="false">SUMIFS(Claims_Data!$H$2:$H$221,Claims_Data!$C$2:$C$221,$A7,Claims_Data!$D$2:$D$221,D$6)</f>
        <v>568.55</v>
      </c>
      <c r="E7" s="14" t="n">
        <f aca="false">SUMIFS(Claims_Data!$H$2:$H$221,Claims_Data!$C$2:$C$221,$A7,Claims_Data!$D$2:$D$221,E$6)</f>
        <v>2121.75</v>
      </c>
      <c r="F7" s="14" t="n">
        <f aca="false">SUMIFS(Claims_Data!$H$2:$H$221,Claims_Data!$C$2:$C$221,$A7,Claims_Data!$D$2:$D$221,F$6)</f>
        <v>1664.31</v>
      </c>
      <c r="G7" s="21" t="n">
        <f aca="false">SUM(B7:F7)</f>
        <v>6580.88</v>
      </c>
    </row>
    <row r="8" customFormat="false" ht="15" hidden="false" customHeight="false" outlineLevel="0" collapsed="false">
      <c r="A8" s="20" t="s">
        <v>83</v>
      </c>
      <c r="B8" s="14" t="n">
        <f aca="false">SUMIFS(Claims_Data!$H$2:$H$221,Claims_Data!$C$2:$C$221,$A8,Claims_Data!$D$2:$D$221,B$6)</f>
        <v>332.15</v>
      </c>
      <c r="C8" s="14" t="n">
        <f aca="false">SUMIFS(Claims_Data!$H$2:$H$221,Claims_Data!$C$2:$C$221,$A8,Claims_Data!$D$2:$D$221,C$6)</f>
        <v>797.58</v>
      </c>
      <c r="D8" s="14" t="n">
        <f aca="false">SUMIFS(Claims_Data!$H$2:$H$221,Claims_Data!$C$2:$C$221,$A8,Claims_Data!$D$2:$D$221,D$6)</f>
        <v>1173.49</v>
      </c>
      <c r="E8" s="14" t="n">
        <f aca="false">SUMIFS(Claims_Data!$H$2:$H$221,Claims_Data!$C$2:$C$221,$A8,Claims_Data!$D$2:$D$221,E$6)</f>
        <v>1855.79</v>
      </c>
      <c r="F8" s="14" t="n">
        <f aca="false">SUMIFS(Claims_Data!$H$2:$H$221,Claims_Data!$C$2:$C$221,$A8,Claims_Data!$D$2:$D$221,F$6)</f>
        <v>1147.93</v>
      </c>
      <c r="G8" s="21" t="n">
        <f aca="false">SUM(B8:F8)</f>
        <v>5306.94</v>
      </c>
    </row>
    <row r="9" customFormat="false" ht="15" hidden="false" customHeight="false" outlineLevel="0" collapsed="false">
      <c r="A9" s="20" t="s">
        <v>86</v>
      </c>
      <c r="B9" s="14" t="n">
        <f aca="false">SUMIFS(Claims_Data!$H$2:$H$221,Claims_Data!$C$2:$C$221,$A9,Claims_Data!$D$2:$D$221,B$6)</f>
        <v>1228.93</v>
      </c>
      <c r="C9" s="14" t="n">
        <f aca="false">SUMIFS(Claims_Data!$H$2:$H$221,Claims_Data!$C$2:$C$221,$A9,Claims_Data!$D$2:$D$221,C$6)</f>
        <v>627.61</v>
      </c>
      <c r="D9" s="14" t="n">
        <f aca="false">SUMIFS(Claims_Data!$H$2:$H$221,Claims_Data!$C$2:$C$221,$A9,Claims_Data!$D$2:$D$221,D$6)</f>
        <v>449.65</v>
      </c>
      <c r="E9" s="14" t="n">
        <f aca="false">SUMIFS(Claims_Data!$H$2:$H$221,Claims_Data!$C$2:$C$221,$A9,Claims_Data!$D$2:$D$221,E$6)</f>
        <v>2004.08</v>
      </c>
      <c r="F9" s="14" t="n">
        <f aca="false">SUMIFS(Claims_Data!$H$2:$H$221,Claims_Data!$C$2:$C$221,$A9,Claims_Data!$D$2:$D$221,F$6)</f>
        <v>1419.63</v>
      </c>
      <c r="G9" s="21" t="n">
        <f aca="false">SUM(B9:F9)</f>
        <v>5729.9</v>
      </c>
    </row>
    <row r="10" customFormat="false" ht="15" hidden="false" customHeight="false" outlineLevel="0" collapsed="false">
      <c r="A10" s="20" t="s">
        <v>80</v>
      </c>
      <c r="B10" s="14" t="n">
        <f aca="false">SUMIFS(Claims_Data!$H$2:$H$221,Claims_Data!$C$2:$C$221,$A10,Claims_Data!$D$2:$D$221,B$6)</f>
        <v>125.61</v>
      </c>
      <c r="C10" s="14" t="n">
        <f aca="false">SUMIFS(Claims_Data!$H$2:$H$221,Claims_Data!$C$2:$C$221,$A10,Claims_Data!$D$2:$D$221,C$6)</f>
        <v>222.94</v>
      </c>
      <c r="D10" s="14" t="n">
        <f aca="false">SUMIFS(Claims_Data!$H$2:$H$221,Claims_Data!$C$2:$C$221,$A10,Claims_Data!$D$2:$D$221,D$6)</f>
        <v>199.46</v>
      </c>
      <c r="E10" s="14" t="n">
        <f aca="false">SUMIFS(Claims_Data!$H$2:$H$221,Claims_Data!$C$2:$C$221,$A10,Claims_Data!$D$2:$D$221,E$6)</f>
        <v>971.25</v>
      </c>
      <c r="F10" s="14" t="n">
        <f aca="false">SUMIFS(Claims_Data!$H$2:$H$221,Claims_Data!$C$2:$C$221,$A10,Claims_Data!$D$2:$D$221,F$6)</f>
        <v>246.13</v>
      </c>
      <c r="G10" s="21" t="n">
        <f aca="false">SUM(B10:F10)</f>
        <v>1765.39</v>
      </c>
    </row>
    <row r="11" customFormat="false" ht="15" hidden="false" customHeight="false" outlineLevel="0" collapsed="false">
      <c r="A11" s="20" t="s">
        <v>100</v>
      </c>
      <c r="B11" s="14" t="n">
        <f aca="false">SUMIFS(Claims_Data!$H$2:$H$221,Claims_Data!$C$2:$C$221,$A11,Claims_Data!$D$2:$D$221,B$6)</f>
        <v>690.58</v>
      </c>
      <c r="C11" s="14" t="n">
        <f aca="false">SUMIFS(Claims_Data!$H$2:$H$221,Claims_Data!$C$2:$C$221,$A11,Claims_Data!$D$2:$D$221,C$6)</f>
        <v>356.1</v>
      </c>
      <c r="D11" s="14" t="n">
        <f aca="false">SUMIFS(Claims_Data!$H$2:$H$221,Claims_Data!$C$2:$C$221,$A11,Claims_Data!$D$2:$D$221,D$6)</f>
        <v>131.48</v>
      </c>
      <c r="E11" s="14" t="n">
        <f aca="false">SUMIFS(Claims_Data!$H$2:$H$221,Claims_Data!$C$2:$C$221,$A11,Claims_Data!$D$2:$D$221,E$6)</f>
        <v>652.29</v>
      </c>
      <c r="F11" s="14" t="n">
        <f aca="false">SUMIFS(Claims_Data!$H$2:$H$221,Claims_Data!$C$2:$C$221,$A11,Claims_Data!$D$2:$D$221,F$6)</f>
        <v>463.74</v>
      </c>
      <c r="G11" s="21" t="n">
        <f aca="false">SUM(B11:F11)</f>
        <v>2294.19</v>
      </c>
    </row>
    <row r="12" customFormat="false" ht="15" hidden="false" customHeight="false" outlineLevel="0" collapsed="false">
      <c r="A12" s="20" t="s">
        <v>262</v>
      </c>
      <c r="B12" s="21" t="n">
        <f aca="false">SUM(B7:B11)</f>
        <v>3733.39</v>
      </c>
      <c r="C12" s="21" t="n">
        <f aca="false">SUM(C7:C11)</f>
        <v>2874.38</v>
      </c>
      <c r="D12" s="21" t="n">
        <f aca="false">SUM(D7:D11)</f>
        <v>2522.63</v>
      </c>
      <c r="E12" s="21" t="n">
        <f aca="false">SUM(E7:E11)</f>
        <v>7605.16</v>
      </c>
      <c r="F12" s="21" t="n">
        <f aca="false">SUM(F7:F11)</f>
        <v>4941.74</v>
      </c>
      <c r="G12" s="21" t="n">
        <f aca="false">SUM(G7:G11)</f>
        <v>21677.3</v>
      </c>
    </row>
    <row r="15" customFormat="false" ht="15" hidden="false" customHeight="false" outlineLevel="0" collapsed="false">
      <c r="A15" s="22" t="s">
        <v>263</v>
      </c>
    </row>
    <row r="16" customFormat="false" ht="15" hidden="false" customHeight="false" outlineLevel="0" collapsed="false">
      <c r="A16" s="6" t="s">
        <v>68</v>
      </c>
      <c r="B16" s="6" t="s">
        <v>77</v>
      </c>
      <c r="C16" s="6" t="s">
        <v>116</v>
      </c>
      <c r="D16" s="6" t="s">
        <v>98</v>
      </c>
    </row>
    <row r="17" customFormat="false" ht="15" hidden="false" customHeight="false" outlineLevel="0" collapsed="false">
      <c r="A17" s="20" t="s">
        <v>75</v>
      </c>
      <c r="B17" s="7" t="n">
        <f aca="false">COUNTIFS(Claims_Data!$C$2:$C$221,$A17,Claims_Data!$J$2:$J$221,B$16)</f>
        <v>59</v>
      </c>
      <c r="C17" s="7" t="n">
        <f aca="false">COUNTIFS(Claims_Data!$C$2:$C$221,$A17,Claims_Data!$J$2:$J$221,C$16)</f>
        <v>5</v>
      </c>
      <c r="D17" s="7" t="n">
        <f aca="false">COUNTIFS(Claims_Data!$C$2:$C$221,$A17,Claims_Data!$J$2:$J$221,D$16)</f>
        <v>1</v>
      </c>
    </row>
    <row r="18" customFormat="false" ht="15" hidden="false" customHeight="false" outlineLevel="0" collapsed="false">
      <c r="A18" s="20" t="s">
        <v>83</v>
      </c>
      <c r="B18" s="7" t="n">
        <f aca="false">COUNTIFS(Claims_Data!$C$2:$C$221,$A18,Claims_Data!$J$2:$J$221,B$16)</f>
        <v>47</v>
      </c>
      <c r="C18" s="7" t="n">
        <f aca="false">COUNTIFS(Claims_Data!$C$2:$C$221,$A18,Claims_Data!$J$2:$J$221,C$16)</f>
        <v>2</v>
      </c>
      <c r="D18" s="7" t="n">
        <f aca="false">COUNTIFS(Claims_Data!$C$2:$C$221,$A18,Claims_Data!$J$2:$J$221,D$16)</f>
        <v>2</v>
      </c>
    </row>
    <row r="19" customFormat="false" ht="15" hidden="false" customHeight="false" outlineLevel="0" collapsed="false">
      <c r="A19" s="20" t="s">
        <v>86</v>
      </c>
      <c r="B19" s="7" t="n">
        <f aca="false">COUNTIFS(Claims_Data!$C$2:$C$221,$A19,Claims_Data!$J$2:$J$221,B$16)</f>
        <v>50</v>
      </c>
      <c r="C19" s="7" t="n">
        <f aca="false">COUNTIFS(Claims_Data!$C$2:$C$221,$A19,Claims_Data!$J$2:$J$221,C$16)</f>
        <v>3</v>
      </c>
      <c r="D19" s="7" t="n">
        <f aca="false">COUNTIFS(Claims_Data!$C$2:$C$221,$A19,Claims_Data!$J$2:$J$221,D$16)</f>
        <v>0</v>
      </c>
    </row>
    <row r="20" customFormat="false" ht="15" hidden="false" customHeight="false" outlineLevel="0" collapsed="false">
      <c r="A20" s="20" t="s">
        <v>80</v>
      </c>
      <c r="B20" s="7" t="n">
        <f aca="false">COUNTIFS(Claims_Data!$C$2:$C$221,$A20,Claims_Data!$J$2:$J$221,B$16)</f>
        <v>18</v>
      </c>
      <c r="C20" s="7" t="n">
        <f aca="false">COUNTIFS(Claims_Data!$C$2:$C$221,$A20,Claims_Data!$J$2:$J$221,C$16)</f>
        <v>1</v>
      </c>
      <c r="D20" s="7" t="n">
        <f aca="false">COUNTIFS(Claims_Data!$C$2:$C$221,$A20,Claims_Data!$J$2:$J$221,D$16)</f>
        <v>4</v>
      </c>
    </row>
    <row r="21" customFormat="false" ht="15" hidden="false" customHeight="false" outlineLevel="0" collapsed="false">
      <c r="A21" s="20" t="s">
        <v>100</v>
      </c>
      <c r="B21" s="7" t="n">
        <f aca="false">COUNTIFS(Claims_Data!$C$2:$C$221,$A21,Claims_Data!$J$2:$J$221,B$16)</f>
        <v>26</v>
      </c>
      <c r="C21" s="7" t="n">
        <f aca="false">COUNTIFS(Claims_Data!$C$2:$C$221,$A21,Claims_Data!$J$2:$J$221,C$16)</f>
        <v>1</v>
      </c>
      <c r="D21" s="7" t="n">
        <f aca="false">COUNTIFS(Claims_Data!$C$2:$C$221,$A21,Claims_Data!$J$2:$J$221,D$16)</f>
        <v>1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6" t="s">
        <v>66</v>
      </c>
      <c r="B1" s="6" t="s">
        <v>67</v>
      </c>
      <c r="C1" s="6" t="s">
        <v>68</v>
      </c>
      <c r="D1" s="6" t="s">
        <v>69</v>
      </c>
      <c r="E1" s="6" t="s">
        <v>30</v>
      </c>
    </row>
    <row r="2" customFormat="false" ht="15" hidden="false" customHeight="false" outlineLevel="0" collapsed="false">
      <c r="A2" s="8" t="n">
        <v>100001</v>
      </c>
      <c r="B2" s="8" t="s">
        <v>74</v>
      </c>
      <c r="C2" s="8" t="s">
        <v>75</v>
      </c>
      <c r="D2" s="8" t="s">
        <v>76</v>
      </c>
      <c r="E2" s="8" t="s">
        <v>45</v>
      </c>
    </row>
    <row r="3" customFormat="false" ht="15" hidden="false" customHeight="false" outlineLevel="0" collapsed="false">
      <c r="A3" s="8" t="n">
        <v>100002</v>
      </c>
      <c r="B3" s="8" t="s">
        <v>79</v>
      </c>
      <c r="C3" s="8" t="s">
        <v>80</v>
      </c>
      <c r="D3" s="8" t="s">
        <v>81</v>
      </c>
      <c r="E3" s="8" t="s">
        <v>37</v>
      </c>
    </row>
    <row r="4" customFormat="false" ht="15" hidden="false" customHeight="false" outlineLevel="0" collapsed="false">
      <c r="A4" s="8" t="n">
        <v>100003</v>
      </c>
      <c r="B4" s="8" t="s">
        <v>82</v>
      </c>
      <c r="C4" s="8" t="s">
        <v>83</v>
      </c>
      <c r="D4" s="8" t="s">
        <v>84</v>
      </c>
      <c r="E4" s="8" t="s">
        <v>55</v>
      </c>
    </row>
    <row r="5" customFormat="false" ht="15" hidden="false" customHeight="false" outlineLevel="0" collapsed="false">
      <c r="A5" s="8" t="n">
        <v>100004</v>
      </c>
      <c r="B5" s="8" t="s">
        <v>85</v>
      </c>
      <c r="C5" s="8" t="s">
        <v>86</v>
      </c>
      <c r="D5" s="8" t="s">
        <v>87</v>
      </c>
      <c r="E5" s="8" t="s">
        <v>41</v>
      </c>
    </row>
    <row r="6" customFormat="false" ht="15" hidden="false" customHeight="false" outlineLevel="0" collapsed="false">
      <c r="A6" s="8" t="n">
        <v>100005</v>
      </c>
      <c r="B6" s="8" t="s">
        <v>85</v>
      </c>
      <c r="C6" s="8" t="s">
        <v>86</v>
      </c>
      <c r="D6" s="8" t="s">
        <v>88</v>
      </c>
      <c r="E6" s="8" t="s">
        <v>45</v>
      </c>
    </row>
    <row r="7" customFormat="false" ht="15" hidden="false" customHeight="false" outlineLevel="0" collapsed="false">
      <c r="A7" s="8" t="n">
        <v>100006</v>
      </c>
      <c r="B7" s="8" t="s">
        <v>74</v>
      </c>
      <c r="C7" s="8" t="s">
        <v>75</v>
      </c>
      <c r="D7" s="8" t="s">
        <v>89</v>
      </c>
      <c r="E7" s="8" t="s">
        <v>45</v>
      </c>
    </row>
    <row r="8" customFormat="false" ht="15" hidden="false" customHeight="false" outlineLevel="0" collapsed="false">
      <c r="A8" s="8" t="n">
        <v>100007</v>
      </c>
      <c r="B8" s="8" t="s">
        <v>90</v>
      </c>
      <c r="C8" s="8" t="s">
        <v>75</v>
      </c>
      <c r="D8" s="8" t="s">
        <v>91</v>
      </c>
      <c r="E8" s="8" t="s">
        <v>45</v>
      </c>
    </row>
    <row r="9" customFormat="false" ht="15" hidden="false" customHeight="false" outlineLevel="0" collapsed="false">
      <c r="A9" s="8" t="n">
        <v>100008</v>
      </c>
      <c r="B9" s="8" t="s">
        <v>85</v>
      </c>
      <c r="C9" s="8" t="s">
        <v>86</v>
      </c>
      <c r="D9" s="8" t="s">
        <v>92</v>
      </c>
      <c r="E9" s="8" t="s">
        <v>47</v>
      </c>
    </row>
    <row r="10" customFormat="false" ht="15" hidden="false" customHeight="false" outlineLevel="0" collapsed="false">
      <c r="A10" s="8" t="n">
        <v>100009</v>
      </c>
      <c r="B10" s="8" t="s">
        <v>93</v>
      </c>
      <c r="C10" s="8" t="s">
        <v>83</v>
      </c>
      <c r="D10" s="8" t="s">
        <v>94</v>
      </c>
      <c r="E10" s="8" t="s">
        <v>43</v>
      </c>
    </row>
    <row r="11" customFormat="false" ht="15" hidden="false" customHeight="false" outlineLevel="0" collapsed="false">
      <c r="A11" s="8" t="n">
        <v>100010</v>
      </c>
      <c r="B11" s="8" t="s">
        <v>85</v>
      </c>
      <c r="C11" s="8" t="s">
        <v>86</v>
      </c>
      <c r="D11" s="8" t="s">
        <v>95</v>
      </c>
      <c r="E11" s="8" t="s">
        <v>43</v>
      </c>
    </row>
    <row r="12" customFormat="false" ht="15" hidden="false" customHeight="false" outlineLevel="0" collapsed="false">
      <c r="A12" s="8" t="n">
        <v>100011</v>
      </c>
      <c r="B12" s="8" t="s">
        <v>82</v>
      </c>
      <c r="C12" s="8" t="s">
        <v>83</v>
      </c>
      <c r="D12" s="8" t="s">
        <v>96</v>
      </c>
      <c r="E12" s="8" t="s">
        <v>49</v>
      </c>
    </row>
    <row r="13" customFormat="false" ht="15" hidden="false" customHeight="false" outlineLevel="0" collapsed="false">
      <c r="A13" s="8" t="n">
        <v>100012</v>
      </c>
      <c r="B13" s="8" t="s">
        <v>79</v>
      </c>
      <c r="C13" s="8" t="s">
        <v>80</v>
      </c>
      <c r="D13" s="8" t="s">
        <v>97</v>
      </c>
      <c r="E13" s="8" t="s">
        <v>49</v>
      </c>
    </row>
    <row r="14" customFormat="false" ht="15" hidden="false" customHeight="false" outlineLevel="0" collapsed="false">
      <c r="A14" s="8" t="n">
        <v>100013</v>
      </c>
      <c r="B14" s="8" t="s">
        <v>99</v>
      </c>
      <c r="C14" s="8" t="s">
        <v>100</v>
      </c>
      <c r="D14" s="8" t="s">
        <v>101</v>
      </c>
      <c r="E14" s="8" t="s">
        <v>37</v>
      </c>
    </row>
    <row r="15" customFormat="false" ht="15" hidden="false" customHeight="false" outlineLevel="0" collapsed="false">
      <c r="A15" s="8" t="n">
        <v>100014</v>
      </c>
      <c r="B15" s="8" t="s">
        <v>79</v>
      </c>
      <c r="C15" s="8" t="s">
        <v>80</v>
      </c>
      <c r="D15" s="8" t="s">
        <v>102</v>
      </c>
      <c r="E15" s="8" t="s">
        <v>55</v>
      </c>
    </row>
    <row r="16" customFormat="false" ht="15" hidden="false" customHeight="false" outlineLevel="0" collapsed="false">
      <c r="A16" s="8" t="n">
        <v>100015</v>
      </c>
      <c r="B16" s="8" t="s">
        <v>74</v>
      </c>
      <c r="C16" s="8" t="s">
        <v>75</v>
      </c>
      <c r="D16" s="8" t="s">
        <v>103</v>
      </c>
      <c r="E16" s="8" t="s">
        <v>45</v>
      </c>
    </row>
    <row r="17" customFormat="false" ht="15" hidden="false" customHeight="false" outlineLevel="0" collapsed="false">
      <c r="A17" s="8" t="n">
        <v>100016</v>
      </c>
      <c r="B17" s="8" t="s">
        <v>104</v>
      </c>
      <c r="C17" s="8" t="s">
        <v>86</v>
      </c>
      <c r="D17" s="8" t="s">
        <v>105</v>
      </c>
      <c r="E17" s="8" t="s">
        <v>41</v>
      </c>
    </row>
    <row r="18" customFormat="false" ht="15" hidden="false" customHeight="false" outlineLevel="0" collapsed="false">
      <c r="A18" s="8" t="n">
        <v>100017</v>
      </c>
      <c r="B18" s="8" t="s">
        <v>82</v>
      </c>
      <c r="C18" s="8" t="s">
        <v>83</v>
      </c>
      <c r="D18" s="8" t="s">
        <v>106</v>
      </c>
      <c r="E18" s="8" t="s">
        <v>47</v>
      </c>
    </row>
    <row r="19" customFormat="false" ht="15" hidden="false" customHeight="false" outlineLevel="0" collapsed="false">
      <c r="A19" s="8" t="n">
        <v>100018</v>
      </c>
      <c r="B19" s="8" t="s">
        <v>85</v>
      </c>
      <c r="C19" s="8" t="s">
        <v>86</v>
      </c>
      <c r="D19" s="8" t="s">
        <v>107</v>
      </c>
      <c r="E19" s="8" t="s">
        <v>37</v>
      </c>
    </row>
    <row r="20" customFormat="false" ht="15" hidden="false" customHeight="false" outlineLevel="0" collapsed="false">
      <c r="A20" s="8" t="n">
        <v>100019</v>
      </c>
      <c r="B20" s="8" t="s">
        <v>90</v>
      </c>
      <c r="C20" s="8" t="s">
        <v>75</v>
      </c>
      <c r="D20" s="8" t="s">
        <v>108</v>
      </c>
      <c r="E20" s="8" t="s">
        <v>55</v>
      </c>
    </row>
    <row r="21" customFormat="false" ht="15" hidden="false" customHeight="false" outlineLevel="0" collapsed="false">
      <c r="A21" s="8" t="n">
        <v>100020</v>
      </c>
      <c r="B21" s="8" t="s">
        <v>93</v>
      </c>
      <c r="C21" s="8" t="s">
        <v>83</v>
      </c>
      <c r="D21" s="8" t="s">
        <v>109</v>
      </c>
      <c r="E21" s="8" t="s">
        <v>53</v>
      </c>
    </row>
    <row r="22" customFormat="false" ht="15" hidden="false" customHeight="false" outlineLevel="0" collapsed="false">
      <c r="A22" s="8" t="n">
        <v>100021</v>
      </c>
      <c r="B22" s="8" t="s">
        <v>104</v>
      </c>
      <c r="C22" s="8" t="s">
        <v>86</v>
      </c>
      <c r="D22" s="8" t="s">
        <v>110</v>
      </c>
      <c r="E22" s="8" t="s">
        <v>47</v>
      </c>
    </row>
    <row r="23" customFormat="false" ht="15" hidden="false" customHeight="false" outlineLevel="0" collapsed="false">
      <c r="A23" s="8" t="n">
        <v>100022</v>
      </c>
      <c r="B23" s="8" t="s">
        <v>90</v>
      </c>
      <c r="C23" s="8" t="s">
        <v>75</v>
      </c>
      <c r="D23" s="8" t="s">
        <v>111</v>
      </c>
      <c r="E23" s="8" t="s">
        <v>53</v>
      </c>
    </row>
    <row r="24" customFormat="false" ht="15" hidden="false" customHeight="false" outlineLevel="0" collapsed="false">
      <c r="A24" s="8" t="n">
        <v>100023</v>
      </c>
      <c r="B24" s="8" t="s">
        <v>74</v>
      </c>
      <c r="C24" s="8" t="s">
        <v>75</v>
      </c>
      <c r="D24" s="8" t="s">
        <v>112</v>
      </c>
      <c r="E24" s="8" t="s">
        <v>47</v>
      </c>
    </row>
    <row r="25" customFormat="false" ht="15" hidden="false" customHeight="false" outlineLevel="0" collapsed="false">
      <c r="A25" s="8" t="n">
        <v>100024</v>
      </c>
      <c r="B25" s="8" t="s">
        <v>99</v>
      </c>
      <c r="C25" s="8" t="s">
        <v>100</v>
      </c>
      <c r="D25" s="8" t="s">
        <v>84</v>
      </c>
      <c r="E25" s="8" t="s">
        <v>51</v>
      </c>
    </row>
    <row r="26" customFormat="false" ht="15" hidden="false" customHeight="false" outlineLevel="0" collapsed="false">
      <c r="A26" s="8" t="n">
        <v>100025</v>
      </c>
      <c r="B26" s="8" t="s">
        <v>79</v>
      </c>
      <c r="C26" s="8" t="s">
        <v>80</v>
      </c>
      <c r="D26" s="8" t="s">
        <v>113</v>
      </c>
      <c r="E26" s="8" t="s">
        <v>37</v>
      </c>
    </row>
    <row r="27" customFormat="false" ht="15" hidden="false" customHeight="false" outlineLevel="0" collapsed="false">
      <c r="A27" s="8" t="n">
        <v>100026</v>
      </c>
      <c r="B27" s="8" t="s">
        <v>90</v>
      </c>
      <c r="C27" s="8" t="s">
        <v>75</v>
      </c>
      <c r="D27" s="8" t="s">
        <v>114</v>
      </c>
      <c r="E27" s="8" t="s">
        <v>47</v>
      </c>
    </row>
    <row r="28" customFormat="false" ht="15" hidden="false" customHeight="false" outlineLevel="0" collapsed="false">
      <c r="A28" s="8" t="n">
        <v>100027</v>
      </c>
      <c r="B28" s="8" t="s">
        <v>79</v>
      </c>
      <c r="C28" s="8" t="s">
        <v>80</v>
      </c>
      <c r="D28" s="8" t="s">
        <v>113</v>
      </c>
      <c r="E28" s="8" t="s">
        <v>45</v>
      </c>
    </row>
    <row r="29" customFormat="false" ht="15" hidden="false" customHeight="false" outlineLevel="0" collapsed="false">
      <c r="A29" s="8" t="n">
        <v>100028</v>
      </c>
      <c r="B29" s="8" t="s">
        <v>90</v>
      </c>
      <c r="C29" s="8" t="s">
        <v>75</v>
      </c>
      <c r="D29" s="8" t="s">
        <v>115</v>
      </c>
      <c r="E29" s="8" t="s">
        <v>37</v>
      </c>
    </row>
    <row r="30" customFormat="false" ht="15" hidden="false" customHeight="false" outlineLevel="0" collapsed="false">
      <c r="A30" s="8" t="n">
        <v>100029</v>
      </c>
      <c r="B30" s="8" t="s">
        <v>79</v>
      </c>
      <c r="C30" s="8" t="s">
        <v>80</v>
      </c>
      <c r="D30" s="8" t="s">
        <v>118</v>
      </c>
      <c r="E30" s="8" t="s">
        <v>51</v>
      </c>
    </row>
    <row r="31" customFormat="false" ht="15" hidden="false" customHeight="false" outlineLevel="0" collapsed="false">
      <c r="A31" s="8" t="n">
        <v>100030</v>
      </c>
      <c r="B31" s="8" t="s">
        <v>104</v>
      </c>
      <c r="C31" s="8" t="s">
        <v>86</v>
      </c>
      <c r="D31" s="8" t="s">
        <v>119</v>
      </c>
      <c r="E31" s="8" t="s">
        <v>45</v>
      </c>
    </row>
    <row r="32" customFormat="false" ht="15" hidden="false" customHeight="false" outlineLevel="0" collapsed="false">
      <c r="A32" s="8" t="n">
        <v>100031</v>
      </c>
      <c r="B32" s="8" t="s">
        <v>93</v>
      </c>
      <c r="C32" s="8" t="s">
        <v>83</v>
      </c>
      <c r="D32" s="8" t="s">
        <v>121</v>
      </c>
      <c r="E32" s="8" t="s">
        <v>45</v>
      </c>
    </row>
    <row r="33" customFormat="false" ht="15" hidden="false" customHeight="false" outlineLevel="0" collapsed="false">
      <c r="A33" s="8" t="n">
        <v>100032</v>
      </c>
      <c r="B33" s="8" t="s">
        <v>90</v>
      </c>
      <c r="C33" s="8" t="s">
        <v>75</v>
      </c>
      <c r="D33" s="8" t="s">
        <v>122</v>
      </c>
      <c r="E33" s="8" t="s">
        <v>55</v>
      </c>
    </row>
    <row r="34" customFormat="false" ht="15" hidden="false" customHeight="false" outlineLevel="0" collapsed="false">
      <c r="A34" s="8" t="n">
        <v>100033</v>
      </c>
      <c r="B34" s="8" t="s">
        <v>74</v>
      </c>
      <c r="C34" s="8" t="s">
        <v>75</v>
      </c>
      <c r="D34" s="8" t="s">
        <v>123</v>
      </c>
      <c r="E34" s="8" t="s">
        <v>39</v>
      </c>
    </row>
    <row r="35" customFormat="false" ht="15" hidden="false" customHeight="false" outlineLevel="0" collapsed="false">
      <c r="A35" s="8" t="n">
        <v>100034</v>
      </c>
      <c r="B35" s="8" t="s">
        <v>90</v>
      </c>
      <c r="C35" s="8" t="s">
        <v>75</v>
      </c>
      <c r="D35" s="8" t="s">
        <v>124</v>
      </c>
      <c r="E35" s="8" t="s">
        <v>39</v>
      </c>
    </row>
    <row r="36" customFormat="false" ht="15" hidden="false" customHeight="false" outlineLevel="0" collapsed="false">
      <c r="A36" s="8" t="n">
        <v>100035</v>
      </c>
      <c r="B36" s="8" t="s">
        <v>85</v>
      </c>
      <c r="C36" s="8" t="s">
        <v>86</v>
      </c>
      <c r="D36" s="8" t="s">
        <v>125</v>
      </c>
      <c r="E36" s="8" t="s">
        <v>45</v>
      </c>
    </row>
    <row r="37" customFormat="false" ht="15" hidden="false" customHeight="false" outlineLevel="0" collapsed="false">
      <c r="A37" s="8" t="n">
        <v>100036</v>
      </c>
      <c r="B37" s="8" t="s">
        <v>90</v>
      </c>
      <c r="C37" s="8" t="s">
        <v>75</v>
      </c>
      <c r="D37" s="8" t="s">
        <v>125</v>
      </c>
      <c r="E37" s="8" t="s">
        <v>55</v>
      </c>
    </row>
    <row r="38" customFormat="false" ht="15" hidden="false" customHeight="false" outlineLevel="0" collapsed="false">
      <c r="A38" s="8" t="n">
        <v>100037</v>
      </c>
      <c r="B38" s="8" t="s">
        <v>82</v>
      </c>
      <c r="C38" s="8" t="s">
        <v>83</v>
      </c>
      <c r="D38" s="8" t="s">
        <v>126</v>
      </c>
      <c r="E38" s="8" t="s">
        <v>45</v>
      </c>
    </row>
    <row r="39" customFormat="false" ht="15" hidden="false" customHeight="false" outlineLevel="0" collapsed="false">
      <c r="A39" s="8" t="n">
        <v>100038</v>
      </c>
      <c r="B39" s="8" t="s">
        <v>93</v>
      </c>
      <c r="C39" s="8" t="s">
        <v>83</v>
      </c>
      <c r="D39" s="8" t="s">
        <v>127</v>
      </c>
      <c r="E39" s="8" t="s">
        <v>53</v>
      </c>
    </row>
    <row r="40" customFormat="false" ht="15" hidden="false" customHeight="false" outlineLevel="0" collapsed="false">
      <c r="A40" s="8" t="n">
        <v>100039</v>
      </c>
      <c r="B40" s="8" t="s">
        <v>104</v>
      </c>
      <c r="C40" s="8" t="s">
        <v>86</v>
      </c>
      <c r="D40" s="8" t="s">
        <v>128</v>
      </c>
      <c r="E40" s="8" t="s">
        <v>41</v>
      </c>
    </row>
    <row r="41" customFormat="false" ht="15" hidden="false" customHeight="false" outlineLevel="0" collapsed="false">
      <c r="A41" s="8" t="n">
        <v>100040</v>
      </c>
      <c r="B41" s="8" t="s">
        <v>82</v>
      </c>
      <c r="C41" s="8" t="s">
        <v>83</v>
      </c>
      <c r="D41" s="8" t="s">
        <v>129</v>
      </c>
      <c r="E41" s="8" t="s">
        <v>43</v>
      </c>
    </row>
    <row r="42" customFormat="false" ht="15" hidden="false" customHeight="false" outlineLevel="0" collapsed="false">
      <c r="A42" s="8" t="n">
        <v>100041</v>
      </c>
      <c r="B42" s="8" t="s">
        <v>74</v>
      </c>
      <c r="C42" s="8" t="s">
        <v>75</v>
      </c>
      <c r="D42" s="8" t="s">
        <v>130</v>
      </c>
      <c r="E42" s="8" t="s">
        <v>45</v>
      </c>
    </row>
    <row r="43" customFormat="false" ht="15" hidden="false" customHeight="false" outlineLevel="0" collapsed="false">
      <c r="A43" s="8" t="n">
        <v>100042</v>
      </c>
      <c r="B43" s="8" t="s">
        <v>99</v>
      </c>
      <c r="C43" s="8" t="s">
        <v>100</v>
      </c>
      <c r="D43" s="8" t="s">
        <v>131</v>
      </c>
      <c r="E43" s="8" t="s">
        <v>49</v>
      </c>
    </row>
    <row r="44" customFormat="false" ht="15" hidden="false" customHeight="false" outlineLevel="0" collapsed="false">
      <c r="A44" s="8" t="n">
        <v>100043</v>
      </c>
      <c r="B44" s="8" t="s">
        <v>90</v>
      </c>
      <c r="C44" s="8" t="s">
        <v>75</v>
      </c>
      <c r="D44" s="8" t="s">
        <v>132</v>
      </c>
      <c r="E44" s="8" t="s">
        <v>55</v>
      </c>
    </row>
    <row r="45" customFormat="false" ht="15" hidden="false" customHeight="false" outlineLevel="0" collapsed="false">
      <c r="A45" s="8" t="n">
        <v>100044</v>
      </c>
      <c r="B45" s="8" t="s">
        <v>85</v>
      </c>
      <c r="C45" s="8" t="s">
        <v>86</v>
      </c>
      <c r="D45" s="8" t="s">
        <v>133</v>
      </c>
      <c r="E45" s="8" t="s">
        <v>43</v>
      </c>
    </row>
    <row r="46" customFormat="false" ht="15" hidden="false" customHeight="false" outlineLevel="0" collapsed="false">
      <c r="A46" s="8" t="n">
        <v>100045</v>
      </c>
      <c r="B46" s="8" t="s">
        <v>82</v>
      </c>
      <c r="C46" s="8" t="s">
        <v>83</v>
      </c>
      <c r="D46" s="8" t="s">
        <v>134</v>
      </c>
      <c r="E46" s="8" t="s">
        <v>41</v>
      </c>
    </row>
    <row r="47" customFormat="false" ht="15" hidden="false" customHeight="false" outlineLevel="0" collapsed="false">
      <c r="A47" s="8" t="n">
        <v>100046</v>
      </c>
      <c r="B47" s="8" t="s">
        <v>82</v>
      </c>
      <c r="C47" s="8" t="s">
        <v>83</v>
      </c>
      <c r="D47" s="8" t="s">
        <v>135</v>
      </c>
      <c r="E47" s="8" t="s">
        <v>41</v>
      </c>
    </row>
    <row r="48" customFormat="false" ht="15" hidden="false" customHeight="false" outlineLevel="0" collapsed="false">
      <c r="A48" s="8" t="n">
        <v>100047</v>
      </c>
      <c r="B48" s="8" t="s">
        <v>82</v>
      </c>
      <c r="C48" s="8" t="s">
        <v>83</v>
      </c>
      <c r="D48" s="8" t="s">
        <v>136</v>
      </c>
      <c r="E48" s="8" t="s">
        <v>47</v>
      </c>
    </row>
    <row r="49" customFormat="false" ht="15" hidden="false" customHeight="false" outlineLevel="0" collapsed="false">
      <c r="A49" s="8" t="n">
        <v>100048</v>
      </c>
      <c r="B49" s="8" t="s">
        <v>79</v>
      </c>
      <c r="C49" s="8" t="s">
        <v>80</v>
      </c>
      <c r="D49" s="8" t="s">
        <v>137</v>
      </c>
      <c r="E49" s="8" t="s">
        <v>45</v>
      </c>
    </row>
    <row r="50" customFormat="false" ht="15" hidden="false" customHeight="false" outlineLevel="0" collapsed="false">
      <c r="A50" s="8" t="n">
        <v>100049</v>
      </c>
      <c r="B50" s="8" t="s">
        <v>79</v>
      </c>
      <c r="C50" s="8" t="s">
        <v>80</v>
      </c>
      <c r="D50" s="8" t="s">
        <v>139</v>
      </c>
      <c r="E50" s="8" t="s">
        <v>47</v>
      </c>
    </row>
    <row r="51" customFormat="false" ht="15" hidden="false" customHeight="false" outlineLevel="0" collapsed="false">
      <c r="A51" s="8" t="n">
        <v>100050</v>
      </c>
      <c r="B51" s="8" t="s">
        <v>90</v>
      </c>
      <c r="C51" s="8" t="s">
        <v>75</v>
      </c>
      <c r="D51" s="8" t="s">
        <v>140</v>
      </c>
      <c r="E51" s="8" t="s">
        <v>55</v>
      </c>
    </row>
    <row r="52" customFormat="false" ht="15" hidden="false" customHeight="false" outlineLevel="0" collapsed="false">
      <c r="A52" s="8" t="n">
        <v>100051</v>
      </c>
      <c r="B52" s="8" t="s">
        <v>74</v>
      </c>
      <c r="C52" s="8" t="s">
        <v>75</v>
      </c>
      <c r="D52" s="8" t="s">
        <v>141</v>
      </c>
      <c r="E52" s="8" t="s">
        <v>55</v>
      </c>
    </row>
    <row r="53" customFormat="false" ht="15" hidden="false" customHeight="false" outlineLevel="0" collapsed="false">
      <c r="A53" s="8" t="n">
        <v>100052</v>
      </c>
      <c r="B53" s="8" t="s">
        <v>85</v>
      </c>
      <c r="C53" s="8" t="s">
        <v>86</v>
      </c>
      <c r="D53" s="8" t="s">
        <v>142</v>
      </c>
      <c r="E53" s="8" t="s">
        <v>39</v>
      </c>
    </row>
    <row r="54" customFormat="false" ht="15" hidden="false" customHeight="false" outlineLevel="0" collapsed="false">
      <c r="A54" s="8" t="n">
        <v>100053</v>
      </c>
      <c r="B54" s="8" t="s">
        <v>104</v>
      </c>
      <c r="C54" s="8" t="s">
        <v>86</v>
      </c>
      <c r="D54" s="8" t="s">
        <v>136</v>
      </c>
      <c r="E54" s="8" t="s">
        <v>45</v>
      </c>
    </row>
    <row r="55" customFormat="false" ht="15" hidden="false" customHeight="false" outlineLevel="0" collapsed="false">
      <c r="A55" s="8" t="n">
        <v>100054</v>
      </c>
      <c r="B55" s="8" t="s">
        <v>79</v>
      </c>
      <c r="C55" s="8" t="s">
        <v>80</v>
      </c>
      <c r="D55" s="8" t="s">
        <v>143</v>
      </c>
      <c r="E55" s="8" t="s">
        <v>41</v>
      </c>
    </row>
    <row r="56" customFormat="false" ht="15" hidden="false" customHeight="false" outlineLevel="0" collapsed="false">
      <c r="A56" s="8" t="n">
        <v>100055</v>
      </c>
      <c r="B56" s="8" t="s">
        <v>82</v>
      </c>
      <c r="C56" s="8" t="s">
        <v>83</v>
      </c>
      <c r="D56" s="8" t="s">
        <v>140</v>
      </c>
      <c r="E56" s="8" t="s">
        <v>55</v>
      </c>
    </row>
    <row r="57" customFormat="false" ht="15" hidden="false" customHeight="false" outlineLevel="0" collapsed="false">
      <c r="A57" s="8" t="n">
        <v>100056</v>
      </c>
      <c r="B57" s="8" t="s">
        <v>99</v>
      </c>
      <c r="C57" s="8" t="s">
        <v>100</v>
      </c>
      <c r="D57" s="8" t="s">
        <v>144</v>
      </c>
      <c r="E57" s="8" t="s">
        <v>39</v>
      </c>
    </row>
    <row r="58" customFormat="false" ht="15" hidden="false" customHeight="false" outlineLevel="0" collapsed="false">
      <c r="A58" s="8" t="n">
        <v>100057</v>
      </c>
      <c r="B58" s="8" t="s">
        <v>104</v>
      </c>
      <c r="C58" s="8" t="s">
        <v>86</v>
      </c>
      <c r="D58" s="8" t="s">
        <v>125</v>
      </c>
      <c r="E58" s="8" t="s">
        <v>43</v>
      </c>
    </row>
    <row r="59" customFormat="false" ht="15" hidden="false" customHeight="false" outlineLevel="0" collapsed="false">
      <c r="A59" s="8" t="n">
        <v>100058</v>
      </c>
      <c r="B59" s="8" t="s">
        <v>99</v>
      </c>
      <c r="C59" s="8" t="s">
        <v>100</v>
      </c>
      <c r="D59" s="8" t="s">
        <v>145</v>
      </c>
      <c r="E59" s="8" t="s">
        <v>55</v>
      </c>
    </row>
    <row r="60" customFormat="false" ht="15" hidden="false" customHeight="false" outlineLevel="0" collapsed="false">
      <c r="A60" s="8" t="n">
        <v>100059</v>
      </c>
      <c r="B60" s="8" t="s">
        <v>74</v>
      </c>
      <c r="C60" s="8" t="s">
        <v>75</v>
      </c>
      <c r="D60" s="8" t="s">
        <v>146</v>
      </c>
      <c r="E60" s="8" t="s">
        <v>43</v>
      </c>
    </row>
    <row r="61" customFormat="false" ht="15" hidden="false" customHeight="false" outlineLevel="0" collapsed="false">
      <c r="A61" s="8" t="n">
        <v>100060</v>
      </c>
      <c r="B61" s="8" t="s">
        <v>90</v>
      </c>
      <c r="C61" s="8" t="s">
        <v>75</v>
      </c>
      <c r="D61" s="8" t="s">
        <v>147</v>
      </c>
      <c r="E61" s="8" t="s">
        <v>43</v>
      </c>
    </row>
    <row r="62" customFormat="false" ht="15" hidden="false" customHeight="false" outlineLevel="0" collapsed="false">
      <c r="A62" s="8" t="n">
        <v>100061</v>
      </c>
      <c r="B62" s="8" t="s">
        <v>99</v>
      </c>
      <c r="C62" s="8" t="s">
        <v>100</v>
      </c>
      <c r="D62" s="8" t="s">
        <v>148</v>
      </c>
      <c r="E62" s="8" t="s">
        <v>53</v>
      </c>
    </row>
    <row r="63" customFormat="false" ht="15" hidden="false" customHeight="false" outlineLevel="0" collapsed="false">
      <c r="A63" s="8" t="n">
        <v>100062</v>
      </c>
      <c r="B63" s="8" t="s">
        <v>99</v>
      </c>
      <c r="C63" s="8" t="s">
        <v>100</v>
      </c>
      <c r="D63" s="8" t="s">
        <v>107</v>
      </c>
      <c r="E63" s="8" t="s">
        <v>43</v>
      </c>
    </row>
    <row r="64" customFormat="false" ht="15" hidden="false" customHeight="false" outlineLevel="0" collapsed="false">
      <c r="A64" s="8" t="n">
        <v>100063</v>
      </c>
      <c r="B64" s="8" t="s">
        <v>104</v>
      </c>
      <c r="C64" s="8" t="s">
        <v>86</v>
      </c>
      <c r="D64" s="8" t="s">
        <v>149</v>
      </c>
      <c r="E64" s="8" t="s">
        <v>39</v>
      </c>
    </row>
    <row r="65" customFormat="false" ht="15" hidden="false" customHeight="false" outlineLevel="0" collapsed="false">
      <c r="A65" s="8" t="n">
        <v>100064</v>
      </c>
      <c r="B65" s="8" t="s">
        <v>93</v>
      </c>
      <c r="C65" s="8" t="s">
        <v>83</v>
      </c>
      <c r="D65" s="8" t="s">
        <v>150</v>
      </c>
      <c r="E65" s="8" t="s">
        <v>43</v>
      </c>
    </row>
    <row r="66" customFormat="false" ht="15" hidden="false" customHeight="false" outlineLevel="0" collapsed="false">
      <c r="A66" s="8" t="n">
        <v>100065</v>
      </c>
      <c r="B66" s="8" t="s">
        <v>99</v>
      </c>
      <c r="C66" s="8" t="s">
        <v>100</v>
      </c>
      <c r="D66" s="8" t="s">
        <v>151</v>
      </c>
      <c r="E66" s="8" t="s">
        <v>37</v>
      </c>
    </row>
    <row r="67" customFormat="false" ht="15" hidden="false" customHeight="false" outlineLevel="0" collapsed="false">
      <c r="A67" s="8" t="n">
        <v>100066</v>
      </c>
      <c r="B67" s="8" t="s">
        <v>79</v>
      </c>
      <c r="C67" s="8" t="s">
        <v>80</v>
      </c>
      <c r="D67" s="8" t="s">
        <v>81</v>
      </c>
      <c r="E67" s="8" t="s">
        <v>37</v>
      </c>
    </row>
    <row r="68" customFormat="false" ht="15" hidden="false" customHeight="false" outlineLevel="0" collapsed="false">
      <c r="A68" s="8" t="n">
        <v>100067</v>
      </c>
      <c r="B68" s="8" t="s">
        <v>82</v>
      </c>
      <c r="C68" s="8" t="s">
        <v>83</v>
      </c>
      <c r="D68" s="8" t="s">
        <v>152</v>
      </c>
      <c r="E68" s="8" t="s">
        <v>43</v>
      </c>
    </row>
    <row r="69" customFormat="false" ht="15" hidden="false" customHeight="false" outlineLevel="0" collapsed="false">
      <c r="A69" s="8" t="n">
        <v>100068</v>
      </c>
      <c r="B69" s="8" t="s">
        <v>93</v>
      </c>
      <c r="C69" s="8" t="s">
        <v>83</v>
      </c>
      <c r="D69" s="8" t="s">
        <v>153</v>
      </c>
      <c r="E69" s="8" t="s">
        <v>41</v>
      </c>
    </row>
    <row r="70" customFormat="false" ht="15" hidden="false" customHeight="false" outlineLevel="0" collapsed="false">
      <c r="A70" s="8" t="n">
        <v>100069</v>
      </c>
      <c r="B70" s="8" t="s">
        <v>74</v>
      </c>
      <c r="C70" s="8" t="s">
        <v>75</v>
      </c>
      <c r="D70" s="8" t="s">
        <v>91</v>
      </c>
      <c r="E70" s="8" t="s">
        <v>41</v>
      </c>
    </row>
    <row r="71" customFormat="false" ht="15" hidden="false" customHeight="false" outlineLevel="0" collapsed="false">
      <c r="A71" s="8" t="n">
        <v>100070</v>
      </c>
      <c r="B71" s="8" t="s">
        <v>85</v>
      </c>
      <c r="C71" s="8" t="s">
        <v>86</v>
      </c>
      <c r="D71" s="8" t="s">
        <v>154</v>
      </c>
      <c r="E71" s="8" t="s">
        <v>49</v>
      </c>
    </row>
    <row r="72" customFormat="false" ht="15" hidden="false" customHeight="false" outlineLevel="0" collapsed="false">
      <c r="A72" s="8" t="n">
        <v>100071</v>
      </c>
      <c r="B72" s="8" t="s">
        <v>74</v>
      </c>
      <c r="C72" s="8" t="s">
        <v>75</v>
      </c>
      <c r="D72" s="8" t="s">
        <v>89</v>
      </c>
      <c r="E72" s="8" t="s">
        <v>37</v>
      </c>
    </row>
    <row r="73" customFormat="false" ht="15" hidden="false" customHeight="false" outlineLevel="0" collapsed="false">
      <c r="A73" s="8" t="n">
        <v>100072</v>
      </c>
      <c r="B73" s="8" t="s">
        <v>90</v>
      </c>
      <c r="C73" s="8" t="s">
        <v>75</v>
      </c>
      <c r="D73" s="8" t="s">
        <v>156</v>
      </c>
      <c r="E73" s="8" t="s">
        <v>43</v>
      </c>
    </row>
    <row r="74" customFormat="false" ht="15" hidden="false" customHeight="false" outlineLevel="0" collapsed="false">
      <c r="A74" s="8" t="n">
        <v>100073</v>
      </c>
      <c r="B74" s="8" t="s">
        <v>82</v>
      </c>
      <c r="C74" s="8" t="s">
        <v>83</v>
      </c>
      <c r="D74" s="8" t="s">
        <v>156</v>
      </c>
      <c r="E74" s="8" t="s">
        <v>45</v>
      </c>
    </row>
    <row r="75" customFormat="false" ht="15" hidden="false" customHeight="false" outlineLevel="0" collapsed="false">
      <c r="A75" s="8" t="n">
        <v>100074</v>
      </c>
      <c r="B75" s="8" t="s">
        <v>93</v>
      </c>
      <c r="C75" s="8" t="s">
        <v>83</v>
      </c>
      <c r="D75" s="8" t="s">
        <v>157</v>
      </c>
      <c r="E75" s="8" t="s">
        <v>39</v>
      </c>
    </row>
    <row r="76" customFormat="false" ht="15" hidden="false" customHeight="false" outlineLevel="0" collapsed="false">
      <c r="A76" s="8" t="n">
        <v>100075</v>
      </c>
      <c r="B76" s="8" t="s">
        <v>79</v>
      </c>
      <c r="C76" s="8" t="s">
        <v>80</v>
      </c>
      <c r="D76" s="8" t="s">
        <v>158</v>
      </c>
      <c r="E76" s="8" t="s">
        <v>39</v>
      </c>
    </row>
    <row r="77" customFormat="false" ht="15" hidden="false" customHeight="false" outlineLevel="0" collapsed="false">
      <c r="A77" s="8" t="n">
        <v>100076</v>
      </c>
      <c r="B77" s="8" t="s">
        <v>74</v>
      </c>
      <c r="C77" s="8" t="s">
        <v>75</v>
      </c>
      <c r="D77" s="8" t="s">
        <v>159</v>
      </c>
      <c r="E77" s="8" t="s">
        <v>37</v>
      </c>
    </row>
    <row r="78" customFormat="false" ht="15" hidden="false" customHeight="false" outlineLevel="0" collapsed="false">
      <c r="A78" s="8" t="n">
        <v>100077</v>
      </c>
      <c r="B78" s="8" t="s">
        <v>90</v>
      </c>
      <c r="C78" s="8" t="s">
        <v>75</v>
      </c>
      <c r="D78" s="8" t="s">
        <v>160</v>
      </c>
      <c r="E78" s="8" t="s">
        <v>51</v>
      </c>
    </row>
    <row r="79" customFormat="false" ht="15" hidden="false" customHeight="false" outlineLevel="0" collapsed="false">
      <c r="A79" s="8" t="n">
        <v>100078</v>
      </c>
      <c r="B79" s="8" t="s">
        <v>79</v>
      </c>
      <c r="C79" s="8" t="s">
        <v>80</v>
      </c>
      <c r="D79" s="8" t="s">
        <v>161</v>
      </c>
      <c r="E79" s="8" t="s">
        <v>53</v>
      </c>
    </row>
    <row r="80" customFormat="false" ht="15" hidden="false" customHeight="false" outlineLevel="0" collapsed="false">
      <c r="A80" s="8" t="n">
        <v>100079</v>
      </c>
      <c r="B80" s="8" t="s">
        <v>99</v>
      </c>
      <c r="C80" s="8" t="s">
        <v>100</v>
      </c>
      <c r="D80" s="8" t="s">
        <v>162</v>
      </c>
      <c r="E80" s="8" t="s">
        <v>55</v>
      </c>
    </row>
    <row r="81" customFormat="false" ht="15" hidden="false" customHeight="false" outlineLevel="0" collapsed="false">
      <c r="A81" s="8" t="n">
        <v>100080</v>
      </c>
      <c r="B81" s="8" t="s">
        <v>82</v>
      </c>
      <c r="C81" s="8" t="s">
        <v>83</v>
      </c>
      <c r="D81" s="8" t="s">
        <v>163</v>
      </c>
      <c r="E81" s="8" t="s">
        <v>55</v>
      </c>
    </row>
    <row r="82" customFormat="false" ht="15" hidden="false" customHeight="false" outlineLevel="0" collapsed="false">
      <c r="A82" s="8" t="n">
        <v>100081</v>
      </c>
      <c r="B82" s="8" t="s">
        <v>99</v>
      </c>
      <c r="C82" s="8" t="s">
        <v>100</v>
      </c>
      <c r="D82" s="8" t="s">
        <v>164</v>
      </c>
      <c r="E82" s="8" t="s">
        <v>47</v>
      </c>
    </row>
    <row r="83" customFormat="false" ht="15" hidden="false" customHeight="false" outlineLevel="0" collapsed="false">
      <c r="A83" s="8" t="n">
        <v>100082</v>
      </c>
      <c r="B83" s="8" t="s">
        <v>90</v>
      </c>
      <c r="C83" s="8" t="s">
        <v>75</v>
      </c>
      <c r="D83" s="8" t="s">
        <v>148</v>
      </c>
      <c r="E83" s="8" t="s">
        <v>43</v>
      </c>
    </row>
    <row r="84" customFormat="false" ht="15" hidden="false" customHeight="false" outlineLevel="0" collapsed="false">
      <c r="A84" s="8" t="n">
        <v>100083</v>
      </c>
      <c r="B84" s="8" t="s">
        <v>99</v>
      </c>
      <c r="C84" s="8" t="s">
        <v>100</v>
      </c>
      <c r="D84" s="8" t="s">
        <v>165</v>
      </c>
      <c r="E84" s="8" t="s">
        <v>37</v>
      </c>
    </row>
    <row r="85" customFormat="false" ht="15" hidden="false" customHeight="false" outlineLevel="0" collapsed="false">
      <c r="A85" s="8" t="n">
        <v>100084</v>
      </c>
      <c r="B85" s="8" t="s">
        <v>99</v>
      </c>
      <c r="C85" s="8" t="s">
        <v>100</v>
      </c>
      <c r="D85" s="8" t="s">
        <v>150</v>
      </c>
      <c r="E85" s="8" t="s">
        <v>53</v>
      </c>
    </row>
    <row r="86" customFormat="false" ht="15" hidden="false" customHeight="false" outlineLevel="0" collapsed="false">
      <c r="A86" s="8" t="n">
        <v>100085</v>
      </c>
      <c r="B86" s="8" t="s">
        <v>85</v>
      </c>
      <c r="C86" s="8" t="s">
        <v>86</v>
      </c>
      <c r="D86" s="8" t="s">
        <v>166</v>
      </c>
      <c r="E86" s="8" t="s">
        <v>45</v>
      </c>
    </row>
    <row r="87" customFormat="false" ht="15" hidden="false" customHeight="false" outlineLevel="0" collapsed="false">
      <c r="A87" s="8" t="n">
        <v>100086</v>
      </c>
      <c r="B87" s="8" t="s">
        <v>82</v>
      </c>
      <c r="C87" s="8" t="s">
        <v>83</v>
      </c>
      <c r="D87" s="8" t="s">
        <v>167</v>
      </c>
      <c r="E87" s="8" t="s">
        <v>51</v>
      </c>
    </row>
    <row r="88" customFormat="false" ht="15" hidden="false" customHeight="false" outlineLevel="0" collapsed="false">
      <c r="A88" s="8" t="n">
        <v>100087</v>
      </c>
      <c r="B88" s="8" t="s">
        <v>82</v>
      </c>
      <c r="C88" s="8" t="s">
        <v>83</v>
      </c>
      <c r="D88" s="8" t="s">
        <v>168</v>
      </c>
      <c r="E88" s="8" t="s">
        <v>43</v>
      </c>
    </row>
    <row r="89" customFormat="false" ht="15" hidden="false" customHeight="false" outlineLevel="0" collapsed="false">
      <c r="A89" s="8" t="n">
        <v>100088</v>
      </c>
      <c r="B89" s="8" t="s">
        <v>90</v>
      </c>
      <c r="C89" s="8" t="s">
        <v>75</v>
      </c>
      <c r="D89" s="8" t="s">
        <v>169</v>
      </c>
      <c r="E89" s="8" t="s">
        <v>45</v>
      </c>
    </row>
    <row r="90" customFormat="false" ht="15" hidden="false" customHeight="false" outlineLevel="0" collapsed="false">
      <c r="A90" s="8" t="n">
        <v>100089</v>
      </c>
      <c r="B90" s="8" t="s">
        <v>104</v>
      </c>
      <c r="C90" s="8" t="s">
        <v>86</v>
      </c>
      <c r="D90" s="8" t="s">
        <v>170</v>
      </c>
      <c r="E90" s="8" t="s">
        <v>51</v>
      </c>
    </row>
    <row r="91" customFormat="false" ht="15" hidden="false" customHeight="false" outlineLevel="0" collapsed="false">
      <c r="A91" s="8" t="n">
        <v>100090</v>
      </c>
      <c r="B91" s="8" t="s">
        <v>74</v>
      </c>
      <c r="C91" s="8" t="s">
        <v>75</v>
      </c>
      <c r="D91" s="8" t="s">
        <v>171</v>
      </c>
      <c r="E91" s="8" t="s">
        <v>49</v>
      </c>
    </row>
    <row r="92" customFormat="false" ht="15" hidden="false" customHeight="false" outlineLevel="0" collapsed="false">
      <c r="A92" s="8" t="n">
        <v>100091</v>
      </c>
      <c r="B92" s="8" t="s">
        <v>74</v>
      </c>
      <c r="C92" s="8" t="s">
        <v>75</v>
      </c>
      <c r="D92" s="8" t="s">
        <v>172</v>
      </c>
      <c r="E92" s="8" t="s">
        <v>39</v>
      </c>
    </row>
    <row r="93" customFormat="false" ht="15" hidden="false" customHeight="false" outlineLevel="0" collapsed="false">
      <c r="A93" s="8" t="n">
        <v>100092</v>
      </c>
      <c r="B93" s="8" t="s">
        <v>79</v>
      </c>
      <c r="C93" s="8" t="s">
        <v>80</v>
      </c>
      <c r="D93" s="8" t="s">
        <v>173</v>
      </c>
      <c r="E93" s="8" t="s">
        <v>51</v>
      </c>
    </row>
    <row r="94" customFormat="false" ht="15" hidden="false" customHeight="false" outlineLevel="0" collapsed="false">
      <c r="A94" s="8" t="n">
        <v>100093</v>
      </c>
      <c r="B94" s="8" t="s">
        <v>74</v>
      </c>
      <c r="C94" s="8" t="s">
        <v>75</v>
      </c>
      <c r="D94" s="8" t="s">
        <v>174</v>
      </c>
      <c r="E94" s="8" t="s">
        <v>43</v>
      </c>
    </row>
    <row r="95" customFormat="false" ht="15" hidden="false" customHeight="false" outlineLevel="0" collapsed="false">
      <c r="A95" s="8" t="n">
        <v>100094</v>
      </c>
      <c r="B95" s="8" t="s">
        <v>90</v>
      </c>
      <c r="C95" s="8" t="s">
        <v>75</v>
      </c>
      <c r="D95" s="8" t="s">
        <v>128</v>
      </c>
      <c r="E95" s="8" t="s">
        <v>51</v>
      </c>
    </row>
    <row r="96" customFormat="false" ht="15" hidden="false" customHeight="false" outlineLevel="0" collapsed="false">
      <c r="A96" s="8" t="n">
        <v>100095</v>
      </c>
      <c r="B96" s="8" t="s">
        <v>99</v>
      </c>
      <c r="C96" s="8" t="s">
        <v>100</v>
      </c>
      <c r="D96" s="8" t="s">
        <v>175</v>
      </c>
      <c r="E96" s="8" t="s">
        <v>43</v>
      </c>
    </row>
    <row r="97" customFormat="false" ht="15" hidden="false" customHeight="false" outlineLevel="0" collapsed="false">
      <c r="A97" s="8" t="n">
        <v>100096</v>
      </c>
      <c r="B97" s="8" t="s">
        <v>79</v>
      </c>
      <c r="C97" s="8" t="s">
        <v>80</v>
      </c>
      <c r="D97" s="8" t="s">
        <v>173</v>
      </c>
      <c r="E97" s="8" t="s">
        <v>53</v>
      </c>
    </row>
    <row r="98" customFormat="false" ht="15" hidden="false" customHeight="false" outlineLevel="0" collapsed="false">
      <c r="A98" s="8" t="n">
        <v>100097</v>
      </c>
      <c r="B98" s="8" t="s">
        <v>93</v>
      </c>
      <c r="C98" s="8" t="s">
        <v>83</v>
      </c>
      <c r="D98" s="8" t="s">
        <v>171</v>
      </c>
      <c r="E98" s="8" t="s">
        <v>55</v>
      </c>
    </row>
    <row r="99" customFormat="false" ht="15" hidden="false" customHeight="false" outlineLevel="0" collapsed="false">
      <c r="A99" s="8" t="n">
        <v>100098</v>
      </c>
      <c r="B99" s="8" t="s">
        <v>79</v>
      </c>
      <c r="C99" s="8" t="s">
        <v>80</v>
      </c>
      <c r="D99" s="8" t="s">
        <v>176</v>
      </c>
      <c r="E99" s="8" t="s">
        <v>53</v>
      </c>
    </row>
    <row r="100" customFormat="false" ht="15" hidden="false" customHeight="false" outlineLevel="0" collapsed="false">
      <c r="A100" s="8" t="n">
        <v>100099</v>
      </c>
      <c r="B100" s="8" t="s">
        <v>104</v>
      </c>
      <c r="C100" s="8" t="s">
        <v>86</v>
      </c>
      <c r="D100" s="8" t="s">
        <v>151</v>
      </c>
      <c r="E100" s="8" t="s">
        <v>39</v>
      </c>
    </row>
    <row r="101" customFormat="false" ht="15" hidden="false" customHeight="false" outlineLevel="0" collapsed="false">
      <c r="A101" s="8" t="n">
        <v>100100</v>
      </c>
      <c r="B101" s="8" t="s">
        <v>104</v>
      </c>
      <c r="C101" s="8" t="s">
        <v>86</v>
      </c>
      <c r="D101" s="8" t="s">
        <v>177</v>
      </c>
      <c r="E101" s="8" t="s">
        <v>37</v>
      </c>
    </row>
    <row r="102" customFormat="false" ht="15" hidden="false" customHeight="false" outlineLevel="0" collapsed="false">
      <c r="A102" s="8" t="n">
        <v>100101</v>
      </c>
      <c r="B102" s="8" t="s">
        <v>93</v>
      </c>
      <c r="C102" s="8" t="s">
        <v>83</v>
      </c>
      <c r="D102" s="8" t="s">
        <v>178</v>
      </c>
      <c r="E102" s="8" t="s">
        <v>49</v>
      </c>
    </row>
    <row r="103" customFormat="false" ht="15" hidden="false" customHeight="false" outlineLevel="0" collapsed="false">
      <c r="A103" s="8" t="n">
        <v>100102</v>
      </c>
      <c r="B103" s="8" t="s">
        <v>85</v>
      </c>
      <c r="C103" s="8" t="s">
        <v>86</v>
      </c>
      <c r="D103" s="8" t="s">
        <v>179</v>
      </c>
      <c r="E103" s="8" t="s">
        <v>41</v>
      </c>
    </row>
    <row r="104" customFormat="false" ht="15" hidden="false" customHeight="false" outlineLevel="0" collapsed="false">
      <c r="A104" s="8" t="n">
        <v>100103</v>
      </c>
      <c r="B104" s="8" t="s">
        <v>99</v>
      </c>
      <c r="C104" s="8" t="s">
        <v>100</v>
      </c>
      <c r="D104" s="8" t="s">
        <v>106</v>
      </c>
      <c r="E104" s="8" t="s">
        <v>47</v>
      </c>
    </row>
    <row r="105" customFormat="false" ht="15" hidden="false" customHeight="false" outlineLevel="0" collapsed="false">
      <c r="A105" s="8" t="n">
        <v>100104</v>
      </c>
      <c r="B105" s="8" t="s">
        <v>99</v>
      </c>
      <c r="C105" s="8" t="s">
        <v>100</v>
      </c>
      <c r="D105" s="8" t="s">
        <v>129</v>
      </c>
      <c r="E105" s="8" t="s">
        <v>37</v>
      </c>
    </row>
    <row r="106" customFormat="false" ht="15" hidden="false" customHeight="false" outlineLevel="0" collapsed="false">
      <c r="A106" s="8" t="n">
        <v>100105</v>
      </c>
      <c r="B106" s="8" t="s">
        <v>82</v>
      </c>
      <c r="C106" s="8" t="s">
        <v>83</v>
      </c>
      <c r="D106" s="8" t="s">
        <v>180</v>
      </c>
      <c r="E106" s="8" t="s">
        <v>53</v>
      </c>
    </row>
    <row r="107" customFormat="false" ht="15" hidden="false" customHeight="false" outlineLevel="0" collapsed="false">
      <c r="A107" s="8" t="n">
        <v>100106</v>
      </c>
      <c r="B107" s="8" t="s">
        <v>82</v>
      </c>
      <c r="C107" s="8" t="s">
        <v>83</v>
      </c>
      <c r="D107" s="8" t="s">
        <v>156</v>
      </c>
      <c r="E107" s="8" t="s">
        <v>45</v>
      </c>
    </row>
    <row r="108" customFormat="false" ht="15" hidden="false" customHeight="false" outlineLevel="0" collapsed="false">
      <c r="A108" s="8" t="n">
        <v>100107</v>
      </c>
      <c r="B108" s="8" t="s">
        <v>99</v>
      </c>
      <c r="C108" s="8" t="s">
        <v>100</v>
      </c>
      <c r="D108" s="8" t="s">
        <v>161</v>
      </c>
      <c r="E108" s="8" t="s">
        <v>41</v>
      </c>
    </row>
    <row r="109" customFormat="false" ht="15" hidden="false" customHeight="false" outlineLevel="0" collapsed="false">
      <c r="A109" s="8" t="n">
        <v>100108</v>
      </c>
      <c r="B109" s="8" t="s">
        <v>99</v>
      </c>
      <c r="C109" s="8" t="s">
        <v>100</v>
      </c>
      <c r="D109" s="8" t="s">
        <v>181</v>
      </c>
      <c r="E109" s="8" t="s">
        <v>51</v>
      </c>
    </row>
    <row r="110" customFormat="false" ht="15" hidden="false" customHeight="false" outlineLevel="0" collapsed="false">
      <c r="A110" s="8" t="n">
        <v>100109</v>
      </c>
      <c r="B110" s="8" t="s">
        <v>74</v>
      </c>
      <c r="C110" s="8" t="s">
        <v>75</v>
      </c>
      <c r="D110" s="8" t="s">
        <v>182</v>
      </c>
      <c r="E110" s="8" t="s">
        <v>49</v>
      </c>
    </row>
    <row r="111" customFormat="false" ht="15" hidden="false" customHeight="false" outlineLevel="0" collapsed="false">
      <c r="A111" s="8" t="n">
        <v>100110</v>
      </c>
      <c r="B111" s="8" t="s">
        <v>99</v>
      </c>
      <c r="C111" s="8" t="s">
        <v>100</v>
      </c>
      <c r="D111" s="8" t="s">
        <v>183</v>
      </c>
      <c r="E111" s="8" t="s">
        <v>51</v>
      </c>
    </row>
    <row r="112" customFormat="false" ht="15" hidden="false" customHeight="false" outlineLevel="0" collapsed="false">
      <c r="A112" s="8" t="n">
        <v>100111</v>
      </c>
      <c r="B112" s="8" t="s">
        <v>85</v>
      </c>
      <c r="C112" s="8" t="s">
        <v>86</v>
      </c>
      <c r="D112" s="8" t="s">
        <v>184</v>
      </c>
      <c r="E112" s="8" t="s">
        <v>43</v>
      </c>
    </row>
    <row r="113" customFormat="false" ht="15" hidden="false" customHeight="false" outlineLevel="0" collapsed="false">
      <c r="A113" s="8" t="n">
        <v>100112</v>
      </c>
      <c r="B113" s="8" t="s">
        <v>79</v>
      </c>
      <c r="C113" s="8" t="s">
        <v>80</v>
      </c>
      <c r="D113" s="8" t="s">
        <v>167</v>
      </c>
      <c r="E113" s="8" t="s">
        <v>41</v>
      </c>
    </row>
    <row r="114" customFormat="false" ht="15" hidden="false" customHeight="false" outlineLevel="0" collapsed="false">
      <c r="A114" s="8" t="n">
        <v>100113</v>
      </c>
      <c r="B114" s="8" t="s">
        <v>99</v>
      </c>
      <c r="C114" s="8" t="s">
        <v>100</v>
      </c>
      <c r="D114" s="8" t="s">
        <v>133</v>
      </c>
      <c r="E114" s="8" t="s">
        <v>53</v>
      </c>
    </row>
    <row r="115" customFormat="false" ht="15" hidden="false" customHeight="false" outlineLevel="0" collapsed="false">
      <c r="A115" s="8" t="n">
        <v>100114</v>
      </c>
      <c r="B115" s="8" t="s">
        <v>74</v>
      </c>
      <c r="C115" s="8" t="s">
        <v>75</v>
      </c>
      <c r="D115" s="8" t="s">
        <v>185</v>
      </c>
      <c r="E115" s="8" t="s">
        <v>45</v>
      </c>
    </row>
    <row r="116" customFormat="false" ht="15" hidden="false" customHeight="false" outlineLevel="0" collapsed="false">
      <c r="A116" s="8" t="n">
        <v>100115</v>
      </c>
      <c r="B116" s="8" t="s">
        <v>85</v>
      </c>
      <c r="C116" s="8" t="s">
        <v>86</v>
      </c>
      <c r="D116" s="8" t="s">
        <v>186</v>
      </c>
      <c r="E116" s="8" t="s">
        <v>53</v>
      </c>
    </row>
    <row r="117" customFormat="false" ht="15" hidden="false" customHeight="false" outlineLevel="0" collapsed="false">
      <c r="A117" s="8" t="n">
        <v>100116</v>
      </c>
      <c r="B117" s="8" t="s">
        <v>74</v>
      </c>
      <c r="C117" s="8" t="s">
        <v>75</v>
      </c>
      <c r="D117" s="8" t="s">
        <v>187</v>
      </c>
      <c r="E117" s="8" t="s">
        <v>39</v>
      </c>
    </row>
    <row r="118" customFormat="false" ht="15" hidden="false" customHeight="false" outlineLevel="0" collapsed="false">
      <c r="A118" s="8" t="n">
        <v>100117</v>
      </c>
      <c r="B118" s="8" t="s">
        <v>90</v>
      </c>
      <c r="C118" s="8" t="s">
        <v>75</v>
      </c>
      <c r="D118" s="8" t="s">
        <v>134</v>
      </c>
      <c r="E118" s="8" t="s">
        <v>47</v>
      </c>
    </row>
    <row r="119" customFormat="false" ht="15" hidden="false" customHeight="false" outlineLevel="0" collapsed="false">
      <c r="A119" s="8" t="n">
        <v>100118</v>
      </c>
      <c r="B119" s="8" t="s">
        <v>93</v>
      </c>
      <c r="C119" s="8" t="s">
        <v>83</v>
      </c>
      <c r="D119" s="8" t="s">
        <v>188</v>
      </c>
      <c r="E119" s="8" t="s">
        <v>41</v>
      </c>
    </row>
    <row r="120" customFormat="false" ht="15" hidden="false" customHeight="false" outlineLevel="0" collapsed="false">
      <c r="A120" s="8" t="n">
        <v>100119</v>
      </c>
      <c r="B120" s="8" t="s">
        <v>82</v>
      </c>
      <c r="C120" s="8" t="s">
        <v>83</v>
      </c>
      <c r="D120" s="8" t="s">
        <v>189</v>
      </c>
      <c r="E120" s="8" t="s">
        <v>45</v>
      </c>
    </row>
    <row r="121" customFormat="false" ht="15" hidden="false" customHeight="false" outlineLevel="0" collapsed="false">
      <c r="A121" s="8" t="n">
        <v>100120</v>
      </c>
      <c r="B121" s="8" t="s">
        <v>93</v>
      </c>
      <c r="C121" s="8" t="s">
        <v>83</v>
      </c>
      <c r="D121" s="8" t="s">
        <v>187</v>
      </c>
      <c r="E121" s="8" t="s">
        <v>51</v>
      </c>
    </row>
    <row r="122" customFormat="false" ht="15" hidden="false" customHeight="false" outlineLevel="0" collapsed="false">
      <c r="A122" s="8" t="n">
        <v>100121</v>
      </c>
      <c r="B122" s="8" t="s">
        <v>79</v>
      </c>
      <c r="C122" s="8" t="s">
        <v>80</v>
      </c>
      <c r="D122" s="8" t="s">
        <v>190</v>
      </c>
      <c r="E122" s="8" t="s">
        <v>51</v>
      </c>
    </row>
    <row r="123" customFormat="false" ht="15" hidden="false" customHeight="false" outlineLevel="0" collapsed="false">
      <c r="A123" s="8" t="n">
        <v>100122</v>
      </c>
      <c r="B123" s="8" t="s">
        <v>79</v>
      </c>
      <c r="C123" s="8" t="s">
        <v>80</v>
      </c>
      <c r="D123" s="8" t="s">
        <v>191</v>
      </c>
      <c r="E123" s="8" t="s">
        <v>47</v>
      </c>
    </row>
    <row r="124" customFormat="false" ht="15" hidden="false" customHeight="false" outlineLevel="0" collapsed="false">
      <c r="A124" s="8" t="n">
        <v>100123</v>
      </c>
      <c r="B124" s="8" t="s">
        <v>90</v>
      </c>
      <c r="C124" s="8" t="s">
        <v>75</v>
      </c>
      <c r="D124" s="8" t="s">
        <v>192</v>
      </c>
      <c r="E124" s="8" t="s">
        <v>45</v>
      </c>
    </row>
    <row r="125" customFormat="false" ht="15" hidden="false" customHeight="false" outlineLevel="0" collapsed="false">
      <c r="A125" s="8" t="n">
        <v>100124</v>
      </c>
      <c r="B125" s="8" t="s">
        <v>104</v>
      </c>
      <c r="C125" s="8" t="s">
        <v>86</v>
      </c>
      <c r="D125" s="8" t="s">
        <v>97</v>
      </c>
      <c r="E125" s="8" t="s">
        <v>55</v>
      </c>
    </row>
    <row r="126" customFormat="false" ht="15" hidden="false" customHeight="false" outlineLevel="0" collapsed="false">
      <c r="A126" s="8" t="n">
        <v>100125</v>
      </c>
      <c r="B126" s="8" t="s">
        <v>74</v>
      </c>
      <c r="C126" s="8" t="s">
        <v>75</v>
      </c>
      <c r="D126" s="8" t="s">
        <v>191</v>
      </c>
      <c r="E126" s="8" t="s">
        <v>45</v>
      </c>
    </row>
    <row r="127" customFormat="false" ht="15" hidden="false" customHeight="false" outlineLevel="0" collapsed="false">
      <c r="A127" s="8" t="n">
        <v>100126</v>
      </c>
      <c r="B127" s="8" t="s">
        <v>85</v>
      </c>
      <c r="C127" s="8" t="s">
        <v>86</v>
      </c>
      <c r="D127" s="8" t="s">
        <v>193</v>
      </c>
      <c r="E127" s="8" t="s">
        <v>41</v>
      </c>
    </row>
    <row r="128" customFormat="false" ht="15" hidden="false" customHeight="false" outlineLevel="0" collapsed="false">
      <c r="A128" s="8" t="n">
        <v>100127</v>
      </c>
      <c r="B128" s="8" t="s">
        <v>104</v>
      </c>
      <c r="C128" s="8" t="s">
        <v>86</v>
      </c>
      <c r="D128" s="8" t="s">
        <v>110</v>
      </c>
      <c r="E128" s="8" t="s">
        <v>45</v>
      </c>
    </row>
    <row r="129" customFormat="false" ht="15" hidden="false" customHeight="false" outlineLevel="0" collapsed="false">
      <c r="A129" s="8" t="n">
        <v>100128</v>
      </c>
      <c r="B129" s="8" t="s">
        <v>74</v>
      </c>
      <c r="C129" s="8" t="s">
        <v>75</v>
      </c>
      <c r="D129" s="8" t="s">
        <v>194</v>
      </c>
      <c r="E129" s="8" t="s">
        <v>39</v>
      </c>
    </row>
    <row r="130" customFormat="false" ht="15" hidden="false" customHeight="false" outlineLevel="0" collapsed="false">
      <c r="A130" s="8" t="n">
        <v>100129</v>
      </c>
      <c r="B130" s="8" t="s">
        <v>74</v>
      </c>
      <c r="C130" s="8" t="s">
        <v>75</v>
      </c>
      <c r="D130" s="8" t="s">
        <v>96</v>
      </c>
      <c r="E130" s="8" t="s">
        <v>37</v>
      </c>
    </row>
    <row r="131" customFormat="false" ht="15" hidden="false" customHeight="false" outlineLevel="0" collapsed="false">
      <c r="A131" s="8" t="n">
        <v>100130</v>
      </c>
      <c r="B131" s="8" t="s">
        <v>79</v>
      </c>
      <c r="C131" s="8" t="s">
        <v>80</v>
      </c>
      <c r="D131" s="8" t="s">
        <v>195</v>
      </c>
      <c r="E131" s="8" t="s">
        <v>39</v>
      </c>
    </row>
    <row r="132" customFormat="false" ht="15" hidden="false" customHeight="false" outlineLevel="0" collapsed="false">
      <c r="A132" s="8" t="n">
        <v>100131</v>
      </c>
      <c r="B132" s="8" t="s">
        <v>82</v>
      </c>
      <c r="C132" s="8" t="s">
        <v>83</v>
      </c>
      <c r="D132" s="8" t="s">
        <v>196</v>
      </c>
      <c r="E132" s="8" t="s">
        <v>51</v>
      </c>
    </row>
    <row r="133" customFormat="false" ht="15" hidden="false" customHeight="false" outlineLevel="0" collapsed="false">
      <c r="A133" s="8" t="n">
        <v>100132</v>
      </c>
      <c r="B133" s="8" t="s">
        <v>104</v>
      </c>
      <c r="C133" s="8" t="s">
        <v>86</v>
      </c>
      <c r="D133" s="8" t="s">
        <v>81</v>
      </c>
      <c r="E133" s="8" t="s">
        <v>39</v>
      </c>
    </row>
    <row r="134" customFormat="false" ht="15" hidden="false" customHeight="false" outlineLevel="0" collapsed="false">
      <c r="A134" s="8" t="n">
        <v>100133</v>
      </c>
      <c r="B134" s="8" t="s">
        <v>93</v>
      </c>
      <c r="C134" s="8" t="s">
        <v>83</v>
      </c>
      <c r="D134" s="8" t="s">
        <v>197</v>
      </c>
      <c r="E134" s="8" t="s">
        <v>39</v>
      </c>
    </row>
    <row r="135" customFormat="false" ht="15" hidden="false" customHeight="false" outlineLevel="0" collapsed="false">
      <c r="A135" s="8" t="n">
        <v>100134</v>
      </c>
      <c r="B135" s="8" t="s">
        <v>82</v>
      </c>
      <c r="C135" s="8" t="s">
        <v>83</v>
      </c>
      <c r="D135" s="8" t="s">
        <v>87</v>
      </c>
      <c r="E135" s="8" t="s">
        <v>51</v>
      </c>
    </row>
    <row r="136" customFormat="false" ht="15" hidden="false" customHeight="false" outlineLevel="0" collapsed="false">
      <c r="A136" s="8" t="n">
        <v>100135</v>
      </c>
      <c r="B136" s="8" t="s">
        <v>90</v>
      </c>
      <c r="C136" s="8" t="s">
        <v>75</v>
      </c>
      <c r="D136" s="8" t="s">
        <v>198</v>
      </c>
      <c r="E136" s="8" t="s">
        <v>45</v>
      </c>
    </row>
    <row r="137" customFormat="false" ht="15" hidden="false" customHeight="false" outlineLevel="0" collapsed="false">
      <c r="A137" s="8" t="n">
        <v>100136</v>
      </c>
      <c r="B137" s="8" t="s">
        <v>90</v>
      </c>
      <c r="C137" s="8" t="s">
        <v>75</v>
      </c>
      <c r="D137" s="8" t="s">
        <v>199</v>
      </c>
      <c r="E137" s="8" t="s">
        <v>47</v>
      </c>
    </row>
    <row r="138" customFormat="false" ht="15" hidden="false" customHeight="false" outlineLevel="0" collapsed="false">
      <c r="A138" s="8" t="n">
        <v>100137</v>
      </c>
      <c r="B138" s="8" t="s">
        <v>82</v>
      </c>
      <c r="C138" s="8" t="s">
        <v>83</v>
      </c>
      <c r="D138" s="8" t="s">
        <v>200</v>
      </c>
      <c r="E138" s="8" t="s">
        <v>47</v>
      </c>
    </row>
    <row r="139" customFormat="false" ht="15" hidden="false" customHeight="false" outlineLevel="0" collapsed="false">
      <c r="A139" s="8" t="n">
        <v>100138</v>
      </c>
      <c r="B139" s="8" t="s">
        <v>93</v>
      </c>
      <c r="C139" s="8" t="s">
        <v>83</v>
      </c>
      <c r="D139" s="8" t="s">
        <v>87</v>
      </c>
      <c r="E139" s="8" t="s">
        <v>45</v>
      </c>
    </row>
    <row r="140" customFormat="false" ht="15" hidden="false" customHeight="false" outlineLevel="0" collapsed="false">
      <c r="A140" s="8" t="n">
        <v>100139</v>
      </c>
      <c r="B140" s="8" t="s">
        <v>82</v>
      </c>
      <c r="C140" s="8" t="s">
        <v>83</v>
      </c>
      <c r="D140" s="8" t="s">
        <v>156</v>
      </c>
      <c r="E140" s="8" t="s">
        <v>47</v>
      </c>
    </row>
    <row r="141" customFormat="false" ht="15" hidden="false" customHeight="false" outlineLevel="0" collapsed="false">
      <c r="A141" s="8" t="n">
        <v>100140</v>
      </c>
      <c r="B141" s="8" t="s">
        <v>74</v>
      </c>
      <c r="C141" s="8" t="s">
        <v>75</v>
      </c>
      <c r="D141" s="8" t="s">
        <v>201</v>
      </c>
      <c r="E141" s="8" t="s">
        <v>51</v>
      </c>
    </row>
    <row r="142" customFormat="false" ht="15" hidden="false" customHeight="false" outlineLevel="0" collapsed="false">
      <c r="A142" s="8" t="n">
        <v>100141</v>
      </c>
      <c r="B142" s="8" t="s">
        <v>104</v>
      </c>
      <c r="C142" s="8" t="s">
        <v>86</v>
      </c>
      <c r="D142" s="8" t="s">
        <v>202</v>
      </c>
      <c r="E142" s="8" t="s">
        <v>37</v>
      </c>
    </row>
    <row r="143" customFormat="false" ht="15" hidden="false" customHeight="false" outlineLevel="0" collapsed="false">
      <c r="A143" s="8" t="n">
        <v>100142</v>
      </c>
      <c r="B143" s="8" t="s">
        <v>99</v>
      </c>
      <c r="C143" s="8" t="s">
        <v>100</v>
      </c>
      <c r="D143" s="8" t="s">
        <v>203</v>
      </c>
      <c r="E143" s="8" t="s">
        <v>39</v>
      </c>
    </row>
    <row r="144" customFormat="false" ht="15" hidden="false" customHeight="false" outlineLevel="0" collapsed="false">
      <c r="A144" s="8" t="n">
        <v>100143</v>
      </c>
      <c r="B144" s="8" t="s">
        <v>79</v>
      </c>
      <c r="C144" s="8" t="s">
        <v>80</v>
      </c>
      <c r="D144" s="8" t="s">
        <v>156</v>
      </c>
      <c r="E144" s="8" t="s">
        <v>53</v>
      </c>
    </row>
    <row r="145" customFormat="false" ht="15" hidden="false" customHeight="false" outlineLevel="0" collapsed="false">
      <c r="A145" s="8" t="n">
        <v>100144</v>
      </c>
      <c r="B145" s="8" t="s">
        <v>82</v>
      </c>
      <c r="C145" s="8" t="s">
        <v>83</v>
      </c>
      <c r="D145" s="8" t="s">
        <v>204</v>
      </c>
      <c r="E145" s="8" t="s">
        <v>51</v>
      </c>
    </row>
    <row r="146" customFormat="false" ht="15" hidden="false" customHeight="false" outlineLevel="0" collapsed="false">
      <c r="A146" s="8" t="n">
        <v>100145</v>
      </c>
      <c r="B146" s="8" t="s">
        <v>85</v>
      </c>
      <c r="C146" s="8" t="s">
        <v>86</v>
      </c>
      <c r="D146" s="8" t="s">
        <v>205</v>
      </c>
      <c r="E146" s="8" t="s">
        <v>47</v>
      </c>
    </row>
    <row r="147" customFormat="false" ht="15" hidden="false" customHeight="false" outlineLevel="0" collapsed="false">
      <c r="A147" s="8" t="n">
        <v>100146</v>
      </c>
      <c r="B147" s="8" t="s">
        <v>74</v>
      </c>
      <c r="C147" s="8" t="s">
        <v>75</v>
      </c>
      <c r="D147" s="8" t="s">
        <v>173</v>
      </c>
      <c r="E147" s="8" t="s">
        <v>39</v>
      </c>
    </row>
    <row r="148" customFormat="false" ht="15" hidden="false" customHeight="false" outlineLevel="0" collapsed="false">
      <c r="A148" s="8" t="n">
        <v>100147</v>
      </c>
      <c r="B148" s="8" t="s">
        <v>85</v>
      </c>
      <c r="C148" s="8" t="s">
        <v>86</v>
      </c>
      <c r="D148" s="8" t="s">
        <v>129</v>
      </c>
      <c r="E148" s="8" t="s">
        <v>49</v>
      </c>
    </row>
    <row r="149" customFormat="false" ht="15" hidden="false" customHeight="false" outlineLevel="0" collapsed="false">
      <c r="A149" s="8" t="n">
        <v>100148</v>
      </c>
      <c r="B149" s="8" t="s">
        <v>104</v>
      </c>
      <c r="C149" s="8" t="s">
        <v>86</v>
      </c>
      <c r="D149" s="8" t="s">
        <v>206</v>
      </c>
      <c r="E149" s="8" t="s">
        <v>45</v>
      </c>
    </row>
    <row r="150" customFormat="false" ht="15" hidden="false" customHeight="false" outlineLevel="0" collapsed="false">
      <c r="A150" s="8" t="n">
        <v>100149</v>
      </c>
      <c r="B150" s="8" t="s">
        <v>74</v>
      </c>
      <c r="C150" s="8" t="s">
        <v>75</v>
      </c>
      <c r="D150" s="8" t="s">
        <v>153</v>
      </c>
      <c r="E150" s="8" t="s">
        <v>53</v>
      </c>
    </row>
    <row r="151" customFormat="false" ht="15" hidden="false" customHeight="false" outlineLevel="0" collapsed="false">
      <c r="A151" s="8" t="n">
        <v>100150</v>
      </c>
      <c r="B151" s="8" t="s">
        <v>104</v>
      </c>
      <c r="C151" s="8" t="s">
        <v>86</v>
      </c>
      <c r="D151" s="8" t="s">
        <v>207</v>
      </c>
      <c r="E151" s="8" t="s">
        <v>41</v>
      </c>
    </row>
    <row r="152" customFormat="false" ht="15" hidden="false" customHeight="false" outlineLevel="0" collapsed="false">
      <c r="A152" s="8" t="n">
        <v>100151</v>
      </c>
      <c r="B152" s="8" t="s">
        <v>93</v>
      </c>
      <c r="C152" s="8" t="s">
        <v>83</v>
      </c>
      <c r="D152" s="8" t="s">
        <v>208</v>
      </c>
      <c r="E152" s="8" t="s">
        <v>49</v>
      </c>
    </row>
    <row r="153" customFormat="false" ht="15" hidden="false" customHeight="false" outlineLevel="0" collapsed="false">
      <c r="A153" s="8" t="n">
        <v>100152</v>
      </c>
      <c r="B153" s="8" t="s">
        <v>79</v>
      </c>
      <c r="C153" s="8" t="s">
        <v>80</v>
      </c>
      <c r="D153" s="8" t="s">
        <v>209</v>
      </c>
      <c r="E153" s="8" t="s">
        <v>51</v>
      </c>
    </row>
    <row r="154" customFormat="false" ht="15" hidden="false" customHeight="false" outlineLevel="0" collapsed="false">
      <c r="A154" s="8" t="n">
        <v>100153</v>
      </c>
      <c r="B154" s="8" t="s">
        <v>90</v>
      </c>
      <c r="C154" s="8" t="s">
        <v>75</v>
      </c>
      <c r="D154" s="8" t="s">
        <v>210</v>
      </c>
      <c r="E154" s="8" t="s">
        <v>41</v>
      </c>
    </row>
    <row r="155" customFormat="false" ht="15" hidden="false" customHeight="false" outlineLevel="0" collapsed="false">
      <c r="A155" s="8" t="n">
        <v>100154</v>
      </c>
      <c r="B155" s="8" t="s">
        <v>99</v>
      </c>
      <c r="C155" s="8" t="s">
        <v>100</v>
      </c>
      <c r="D155" s="8" t="s">
        <v>211</v>
      </c>
      <c r="E155" s="8" t="s">
        <v>51</v>
      </c>
    </row>
    <row r="156" customFormat="false" ht="15" hidden="false" customHeight="false" outlineLevel="0" collapsed="false">
      <c r="A156" s="8" t="n">
        <v>100155</v>
      </c>
      <c r="B156" s="8" t="s">
        <v>104</v>
      </c>
      <c r="C156" s="8" t="s">
        <v>86</v>
      </c>
      <c r="D156" s="8" t="s">
        <v>212</v>
      </c>
      <c r="E156" s="8" t="s">
        <v>51</v>
      </c>
    </row>
    <row r="157" customFormat="false" ht="15" hidden="false" customHeight="false" outlineLevel="0" collapsed="false">
      <c r="A157" s="8" t="n">
        <v>100156</v>
      </c>
      <c r="B157" s="8" t="s">
        <v>90</v>
      </c>
      <c r="C157" s="8" t="s">
        <v>75</v>
      </c>
      <c r="D157" s="8" t="s">
        <v>213</v>
      </c>
      <c r="E157" s="8" t="s">
        <v>45</v>
      </c>
    </row>
    <row r="158" customFormat="false" ht="15" hidden="false" customHeight="false" outlineLevel="0" collapsed="false">
      <c r="A158" s="8" t="n">
        <v>100157</v>
      </c>
      <c r="B158" s="8" t="s">
        <v>90</v>
      </c>
      <c r="C158" s="8" t="s">
        <v>75</v>
      </c>
      <c r="D158" s="8" t="s">
        <v>214</v>
      </c>
      <c r="E158" s="8" t="s">
        <v>49</v>
      </c>
    </row>
    <row r="159" customFormat="false" ht="15" hidden="false" customHeight="false" outlineLevel="0" collapsed="false">
      <c r="A159" s="8" t="n">
        <v>100158</v>
      </c>
      <c r="B159" s="8" t="s">
        <v>74</v>
      </c>
      <c r="C159" s="8" t="s">
        <v>75</v>
      </c>
      <c r="D159" s="8" t="s">
        <v>215</v>
      </c>
      <c r="E159" s="8" t="s">
        <v>37</v>
      </c>
    </row>
    <row r="160" customFormat="false" ht="15" hidden="false" customHeight="false" outlineLevel="0" collapsed="false">
      <c r="A160" s="8" t="n">
        <v>100159</v>
      </c>
      <c r="B160" s="8" t="s">
        <v>79</v>
      </c>
      <c r="C160" s="8" t="s">
        <v>80</v>
      </c>
      <c r="D160" s="8" t="s">
        <v>216</v>
      </c>
      <c r="E160" s="8" t="s">
        <v>45</v>
      </c>
    </row>
    <row r="161" customFormat="false" ht="15" hidden="false" customHeight="false" outlineLevel="0" collapsed="false">
      <c r="A161" s="8" t="n">
        <v>100160</v>
      </c>
      <c r="B161" s="8" t="s">
        <v>85</v>
      </c>
      <c r="C161" s="8" t="s">
        <v>86</v>
      </c>
      <c r="D161" s="8" t="s">
        <v>217</v>
      </c>
      <c r="E161" s="8" t="s">
        <v>49</v>
      </c>
    </row>
    <row r="162" customFormat="false" ht="15" hidden="false" customHeight="false" outlineLevel="0" collapsed="false">
      <c r="A162" s="8" t="n">
        <v>100161</v>
      </c>
      <c r="B162" s="8" t="s">
        <v>104</v>
      </c>
      <c r="C162" s="8" t="s">
        <v>86</v>
      </c>
      <c r="D162" s="8" t="s">
        <v>140</v>
      </c>
      <c r="E162" s="8" t="s">
        <v>43</v>
      </c>
    </row>
    <row r="163" customFormat="false" ht="15" hidden="false" customHeight="false" outlineLevel="0" collapsed="false">
      <c r="A163" s="8" t="n">
        <v>100162</v>
      </c>
      <c r="B163" s="8" t="s">
        <v>82</v>
      </c>
      <c r="C163" s="8" t="s">
        <v>83</v>
      </c>
      <c r="D163" s="8" t="s">
        <v>200</v>
      </c>
      <c r="E163" s="8" t="s">
        <v>47</v>
      </c>
    </row>
    <row r="164" customFormat="false" ht="15" hidden="false" customHeight="false" outlineLevel="0" collapsed="false">
      <c r="A164" s="8" t="n">
        <v>100163</v>
      </c>
      <c r="B164" s="8" t="s">
        <v>104</v>
      </c>
      <c r="C164" s="8" t="s">
        <v>86</v>
      </c>
      <c r="D164" s="8" t="s">
        <v>218</v>
      </c>
      <c r="E164" s="8" t="s">
        <v>41</v>
      </c>
    </row>
    <row r="165" customFormat="false" ht="15" hidden="false" customHeight="false" outlineLevel="0" collapsed="false">
      <c r="A165" s="8" t="n">
        <v>100164</v>
      </c>
      <c r="B165" s="8" t="s">
        <v>99</v>
      </c>
      <c r="C165" s="8" t="s">
        <v>100</v>
      </c>
      <c r="D165" s="8" t="s">
        <v>176</v>
      </c>
      <c r="E165" s="8" t="s">
        <v>55</v>
      </c>
    </row>
    <row r="166" customFormat="false" ht="15" hidden="false" customHeight="false" outlineLevel="0" collapsed="false">
      <c r="A166" s="8" t="n">
        <v>100165</v>
      </c>
      <c r="B166" s="8" t="s">
        <v>85</v>
      </c>
      <c r="C166" s="8" t="s">
        <v>86</v>
      </c>
      <c r="D166" s="8" t="s">
        <v>212</v>
      </c>
      <c r="E166" s="8" t="s">
        <v>51</v>
      </c>
    </row>
    <row r="167" customFormat="false" ht="15" hidden="false" customHeight="false" outlineLevel="0" collapsed="false">
      <c r="A167" s="8" t="n">
        <v>100166</v>
      </c>
      <c r="B167" s="8" t="s">
        <v>85</v>
      </c>
      <c r="C167" s="8" t="s">
        <v>86</v>
      </c>
      <c r="D167" s="8" t="s">
        <v>219</v>
      </c>
      <c r="E167" s="8" t="s">
        <v>39</v>
      </c>
    </row>
    <row r="168" customFormat="false" ht="15" hidden="false" customHeight="false" outlineLevel="0" collapsed="false">
      <c r="A168" s="8" t="n">
        <v>100167</v>
      </c>
      <c r="B168" s="8" t="s">
        <v>74</v>
      </c>
      <c r="C168" s="8" t="s">
        <v>75</v>
      </c>
      <c r="D168" s="8" t="s">
        <v>220</v>
      </c>
      <c r="E168" s="8" t="s">
        <v>55</v>
      </c>
    </row>
    <row r="169" customFormat="false" ht="15" hidden="false" customHeight="false" outlineLevel="0" collapsed="false">
      <c r="A169" s="8" t="n">
        <v>100168</v>
      </c>
      <c r="B169" s="8" t="s">
        <v>99</v>
      </c>
      <c r="C169" s="8" t="s">
        <v>100</v>
      </c>
      <c r="D169" s="8" t="s">
        <v>221</v>
      </c>
      <c r="E169" s="8" t="s">
        <v>43</v>
      </c>
    </row>
    <row r="170" customFormat="false" ht="15" hidden="false" customHeight="false" outlineLevel="0" collapsed="false">
      <c r="A170" s="8" t="n">
        <v>100169</v>
      </c>
      <c r="B170" s="8" t="s">
        <v>85</v>
      </c>
      <c r="C170" s="8" t="s">
        <v>86</v>
      </c>
      <c r="D170" s="8" t="s">
        <v>222</v>
      </c>
      <c r="E170" s="8" t="s">
        <v>53</v>
      </c>
    </row>
    <row r="171" customFormat="false" ht="15" hidden="false" customHeight="false" outlineLevel="0" collapsed="false">
      <c r="A171" s="8" t="n">
        <v>100170</v>
      </c>
      <c r="B171" s="8" t="s">
        <v>93</v>
      </c>
      <c r="C171" s="8" t="s">
        <v>83</v>
      </c>
      <c r="D171" s="8" t="s">
        <v>129</v>
      </c>
      <c r="E171" s="8" t="s">
        <v>47</v>
      </c>
    </row>
    <row r="172" customFormat="false" ht="15" hidden="false" customHeight="false" outlineLevel="0" collapsed="false">
      <c r="A172" s="8" t="n">
        <v>100171</v>
      </c>
      <c r="B172" s="8" t="s">
        <v>85</v>
      </c>
      <c r="C172" s="8" t="s">
        <v>86</v>
      </c>
      <c r="D172" s="8" t="s">
        <v>131</v>
      </c>
      <c r="E172" s="8" t="s">
        <v>47</v>
      </c>
    </row>
    <row r="173" customFormat="false" ht="15" hidden="false" customHeight="false" outlineLevel="0" collapsed="false">
      <c r="A173" s="8" t="n">
        <v>100172</v>
      </c>
      <c r="B173" s="8" t="s">
        <v>85</v>
      </c>
      <c r="C173" s="8" t="s">
        <v>86</v>
      </c>
      <c r="D173" s="8" t="s">
        <v>223</v>
      </c>
      <c r="E173" s="8" t="s">
        <v>55</v>
      </c>
    </row>
    <row r="174" customFormat="false" ht="15" hidden="false" customHeight="false" outlineLevel="0" collapsed="false">
      <c r="A174" s="8" t="n">
        <v>100173</v>
      </c>
      <c r="B174" s="8" t="s">
        <v>93</v>
      </c>
      <c r="C174" s="8" t="s">
        <v>83</v>
      </c>
      <c r="D174" s="8" t="s">
        <v>224</v>
      </c>
      <c r="E174" s="8" t="s">
        <v>39</v>
      </c>
    </row>
    <row r="175" customFormat="false" ht="15" hidden="false" customHeight="false" outlineLevel="0" collapsed="false">
      <c r="A175" s="8" t="n">
        <v>100174</v>
      </c>
      <c r="B175" s="8" t="s">
        <v>74</v>
      </c>
      <c r="C175" s="8" t="s">
        <v>75</v>
      </c>
      <c r="D175" s="8" t="s">
        <v>225</v>
      </c>
      <c r="E175" s="8" t="s">
        <v>53</v>
      </c>
    </row>
    <row r="176" customFormat="false" ht="15" hidden="false" customHeight="false" outlineLevel="0" collapsed="false">
      <c r="A176" s="8" t="n">
        <v>100175</v>
      </c>
      <c r="B176" s="8" t="s">
        <v>82</v>
      </c>
      <c r="C176" s="8" t="s">
        <v>83</v>
      </c>
      <c r="D176" s="8" t="s">
        <v>224</v>
      </c>
      <c r="E176" s="8" t="s">
        <v>41</v>
      </c>
    </row>
    <row r="177" customFormat="false" ht="15" hidden="false" customHeight="false" outlineLevel="0" collapsed="false">
      <c r="A177" s="8" t="n">
        <v>100176</v>
      </c>
      <c r="B177" s="8" t="s">
        <v>90</v>
      </c>
      <c r="C177" s="8" t="s">
        <v>75</v>
      </c>
      <c r="D177" s="8" t="s">
        <v>226</v>
      </c>
      <c r="E177" s="8" t="s">
        <v>55</v>
      </c>
    </row>
    <row r="178" customFormat="false" ht="15" hidden="false" customHeight="false" outlineLevel="0" collapsed="false">
      <c r="A178" s="8" t="n">
        <v>100177</v>
      </c>
      <c r="B178" s="8" t="s">
        <v>99</v>
      </c>
      <c r="C178" s="8" t="s">
        <v>100</v>
      </c>
      <c r="D178" s="8" t="s">
        <v>227</v>
      </c>
      <c r="E178" s="8" t="s">
        <v>49</v>
      </c>
    </row>
    <row r="179" customFormat="false" ht="15" hidden="false" customHeight="false" outlineLevel="0" collapsed="false">
      <c r="A179" s="8" t="n">
        <v>100178</v>
      </c>
      <c r="B179" s="8" t="s">
        <v>82</v>
      </c>
      <c r="C179" s="8" t="s">
        <v>83</v>
      </c>
      <c r="D179" s="8" t="s">
        <v>165</v>
      </c>
      <c r="E179" s="8" t="s">
        <v>43</v>
      </c>
    </row>
    <row r="180" customFormat="false" ht="15" hidden="false" customHeight="false" outlineLevel="0" collapsed="false">
      <c r="A180" s="8" t="n">
        <v>100179</v>
      </c>
      <c r="B180" s="8" t="s">
        <v>99</v>
      </c>
      <c r="C180" s="8" t="s">
        <v>100</v>
      </c>
      <c r="D180" s="8" t="s">
        <v>109</v>
      </c>
      <c r="E180" s="8" t="s">
        <v>45</v>
      </c>
    </row>
    <row r="181" customFormat="false" ht="15" hidden="false" customHeight="false" outlineLevel="0" collapsed="false">
      <c r="A181" s="8" t="n">
        <v>100180</v>
      </c>
      <c r="B181" s="8" t="s">
        <v>93</v>
      </c>
      <c r="C181" s="8" t="s">
        <v>83</v>
      </c>
      <c r="D181" s="8" t="s">
        <v>228</v>
      </c>
      <c r="E181" s="8" t="s">
        <v>37</v>
      </c>
    </row>
    <row r="182" customFormat="false" ht="15" hidden="false" customHeight="false" outlineLevel="0" collapsed="false">
      <c r="A182" s="8" t="n">
        <v>100181</v>
      </c>
      <c r="B182" s="8" t="s">
        <v>74</v>
      </c>
      <c r="C182" s="8" t="s">
        <v>75</v>
      </c>
      <c r="D182" s="8" t="s">
        <v>229</v>
      </c>
      <c r="E182" s="8" t="s">
        <v>39</v>
      </c>
    </row>
    <row r="183" customFormat="false" ht="15" hidden="false" customHeight="false" outlineLevel="0" collapsed="false">
      <c r="A183" s="8" t="n">
        <v>100182</v>
      </c>
      <c r="B183" s="8" t="s">
        <v>74</v>
      </c>
      <c r="C183" s="8" t="s">
        <v>75</v>
      </c>
      <c r="D183" s="8" t="s">
        <v>230</v>
      </c>
      <c r="E183" s="8" t="s">
        <v>51</v>
      </c>
    </row>
    <row r="184" customFormat="false" ht="15" hidden="false" customHeight="false" outlineLevel="0" collapsed="false">
      <c r="A184" s="8" t="n">
        <v>100183</v>
      </c>
      <c r="B184" s="8" t="s">
        <v>79</v>
      </c>
      <c r="C184" s="8" t="s">
        <v>80</v>
      </c>
      <c r="D184" s="8" t="s">
        <v>231</v>
      </c>
      <c r="E184" s="8" t="s">
        <v>47</v>
      </c>
    </row>
    <row r="185" customFormat="false" ht="15" hidden="false" customHeight="false" outlineLevel="0" collapsed="false">
      <c r="A185" s="8" t="n">
        <v>100184</v>
      </c>
      <c r="B185" s="8" t="s">
        <v>82</v>
      </c>
      <c r="C185" s="8" t="s">
        <v>83</v>
      </c>
      <c r="D185" s="8" t="s">
        <v>97</v>
      </c>
      <c r="E185" s="8" t="s">
        <v>47</v>
      </c>
    </row>
    <row r="186" customFormat="false" ht="15" hidden="false" customHeight="false" outlineLevel="0" collapsed="false">
      <c r="A186" s="8" t="n">
        <v>100185</v>
      </c>
      <c r="B186" s="8" t="s">
        <v>90</v>
      </c>
      <c r="C186" s="8" t="s">
        <v>75</v>
      </c>
      <c r="D186" s="8" t="s">
        <v>145</v>
      </c>
      <c r="E186" s="8" t="s">
        <v>51</v>
      </c>
    </row>
    <row r="187" customFormat="false" ht="15" hidden="false" customHeight="false" outlineLevel="0" collapsed="false">
      <c r="A187" s="8" t="n">
        <v>100186</v>
      </c>
      <c r="B187" s="8" t="s">
        <v>74</v>
      </c>
      <c r="C187" s="8" t="s">
        <v>75</v>
      </c>
      <c r="D187" s="8" t="s">
        <v>84</v>
      </c>
      <c r="E187" s="8" t="s">
        <v>45</v>
      </c>
    </row>
    <row r="188" customFormat="false" ht="15" hidden="false" customHeight="false" outlineLevel="0" collapsed="false">
      <c r="A188" s="8" t="n">
        <v>100187</v>
      </c>
      <c r="B188" s="8" t="s">
        <v>74</v>
      </c>
      <c r="C188" s="8" t="s">
        <v>75</v>
      </c>
      <c r="D188" s="8" t="s">
        <v>232</v>
      </c>
      <c r="E188" s="8" t="s">
        <v>43</v>
      </c>
    </row>
    <row r="189" customFormat="false" ht="15" hidden="false" customHeight="false" outlineLevel="0" collapsed="false">
      <c r="A189" s="8" t="n">
        <v>100188</v>
      </c>
      <c r="B189" s="8" t="s">
        <v>74</v>
      </c>
      <c r="C189" s="8" t="s">
        <v>75</v>
      </c>
      <c r="D189" s="8" t="s">
        <v>188</v>
      </c>
      <c r="E189" s="8" t="s">
        <v>51</v>
      </c>
    </row>
    <row r="190" customFormat="false" ht="15" hidden="false" customHeight="false" outlineLevel="0" collapsed="false">
      <c r="A190" s="8" t="n">
        <v>100189</v>
      </c>
      <c r="B190" s="8" t="s">
        <v>104</v>
      </c>
      <c r="C190" s="8" t="s">
        <v>86</v>
      </c>
      <c r="D190" s="8" t="s">
        <v>209</v>
      </c>
      <c r="E190" s="8" t="s">
        <v>37</v>
      </c>
    </row>
    <row r="191" customFormat="false" ht="15" hidden="false" customHeight="false" outlineLevel="0" collapsed="false">
      <c r="A191" s="8" t="n">
        <v>100190</v>
      </c>
      <c r="B191" s="8" t="s">
        <v>85</v>
      </c>
      <c r="C191" s="8" t="s">
        <v>86</v>
      </c>
      <c r="D191" s="8" t="s">
        <v>233</v>
      </c>
      <c r="E191" s="8" t="s">
        <v>53</v>
      </c>
    </row>
    <row r="192" customFormat="false" ht="15" hidden="false" customHeight="false" outlineLevel="0" collapsed="false">
      <c r="A192" s="8" t="n">
        <v>100191</v>
      </c>
      <c r="B192" s="8" t="s">
        <v>90</v>
      </c>
      <c r="C192" s="8" t="s">
        <v>75</v>
      </c>
      <c r="D192" s="8" t="s">
        <v>234</v>
      </c>
      <c r="E192" s="8" t="s">
        <v>47</v>
      </c>
    </row>
    <row r="193" customFormat="false" ht="15" hidden="false" customHeight="false" outlineLevel="0" collapsed="false">
      <c r="A193" s="8" t="n">
        <v>100192</v>
      </c>
      <c r="B193" s="8" t="s">
        <v>85</v>
      </c>
      <c r="C193" s="8" t="s">
        <v>86</v>
      </c>
      <c r="D193" s="8" t="s">
        <v>146</v>
      </c>
      <c r="E193" s="8" t="s">
        <v>37</v>
      </c>
    </row>
    <row r="194" customFormat="false" ht="15" hidden="false" customHeight="false" outlineLevel="0" collapsed="false">
      <c r="A194" s="8" t="n">
        <v>100193</v>
      </c>
      <c r="B194" s="8" t="s">
        <v>99</v>
      </c>
      <c r="C194" s="8" t="s">
        <v>100</v>
      </c>
      <c r="D194" s="8" t="s">
        <v>201</v>
      </c>
      <c r="E194" s="8" t="s">
        <v>41</v>
      </c>
    </row>
    <row r="195" customFormat="false" ht="15" hidden="false" customHeight="false" outlineLevel="0" collapsed="false">
      <c r="A195" s="8" t="n">
        <v>100194</v>
      </c>
      <c r="B195" s="8" t="s">
        <v>82</v>
      </c>
      <c r="C195" s="8" t="s">
        <v>83</v>
      </c>
      <c r="D195" s="8" t="s">
        <v>154</v>
      </c>
      <c r="E195" s="8" t="s">
        <v>47</v>
      </c>
    </row>
    <row r="196" customFormat="false" ht="15" hidden="false" customHeight="false" outlineLevel="0" collapsed="false">
      <c r="A196" s="8" t="n">
        <v>100195</v>
      </c>
      <c r="B196" s="8" t="s">
        <v>90</v>
      </c>
      <c r="C196" s="8" t="s">
        <v>75</v>
      </c>
      <c r="D196" s="8" t="s">
        <v>142</v>
      </c>
      <c r="E196" s="8" t="s">
        <v>45</v>
      </c>
    </row>
    <row r="197" customFormat="false" ht="15" hidden="false" customHeight="false" outlineLevel="0" collapsed="false">
      <c r="A197" s="8" t="n">
        <v>100196</v>
      </c>
      <c r="B197" s="8" t="s">
        <v>85</v>
      </c>
      <c r="C197" s="8" t="s">
        <v>86</v>
      </c>
      <c r="D197" s="8" t="s">
        <v>192</v>
      </c>
      <c r="E197" s="8" t="s">
        <v>49</v>
      </c>
    </row>
    <row r="198" customFormat="false" ht="15" hidden="false" customHeight="false" outlineLevel="0" collapsed="false">
      <c r="A198" s="8" t="n">
        <v>100197</v>
      </c>
      <c r="B198" s="8" t="s">
        <v>99</v>
      </c>
      <c r="C198" s="8" t="s">
        <v>100</v>
      </c>
      <c r="D198" s="8" t="s">
        <v>207</v>
      </c>
      <c r="E198" s="8" t="s">
        <v>53</v>
      </c>
    </row>
    <row r="199" customFormat="false" ht="15" hidden="false" customHeight="false" outlineLevel="0" collapsed="false">
      <c r="A199" s="8" t="n">
        <v>100198</v>
      </c>
      <c r="B199" s="8" t="s">
        <v>104</v>
      </c>
      <c r="C199" s="8" t="s">
        <v>86</v>
      </c>
      <c r="D199" s="8" t="s">
        <v>235</v>
      </c>
      <c r="E199" s="8" t="s">
        <v>39</v>
      </c>
    </row>
    <row r="200" customFormat="false" ht="15" hidden="false" customHeight="false" outlineLevel="0" collapsed="false">
      <c r="A200" s="8" t="n">
        <v>100199</v>
      </c>
      <c r="B200" s="8" t="s">
        <v>93</v>
      </c>
      <c r="C200" s="8" t="s">
        <v>83</v>
      </c>
      <c r="D200" s="8" t="s">
        <v>236</v>
      </c>
      <c r="E200" s="8" t="s">
        <v>47</v>
      </c>
    </row>
    <row r="201" customFormat="false" ht="15" hidden="false" customHeight="false" outlineLevel="0" collapsed="false">
      <c r="A201" s="8" t="n">
        <v>100200</v>
      </c>
      <c r="B201" s="8" t="s">
        <v>104</v>
      </c>
      <c r="C201" s="8" t="s">
        <v>86</v>
      </c>
      <c r="D201" s="8" t="s">
        <v>237</v>
      </c>
      <c r="E201" s="8" t="s">
        <v>39</v>
      </c>
    </row>
    <row r="202" customFormat="false" ht="15" hidden="false" customHeight="false" outlineLevel="0" collapsed="false">
      <c r="A202" s="8" t="n">
        <v>100201</v>
      </c>
      <c r="B202" s="8" t="s">
        <v>90</v>
      </c>
      <c r="C202" s="8" t="s">
        <v>75</v>
      </c>
      <c r="D202" s="8" t="s">
        <v>194</v>
      </c>
      <c r="E202" s="8" t="s">
        <v>55</v>
      </c>
    </row>
    <row r="203" customFormat="false" ht="15" hidden="false" customHeight="false" outlineLevel="0" collapsed="false">
      <c r="A203" s="8" t="n">
        <v>100202</v>
      </c>
      <c r="B203" s="8" t="s">
        <v>85</v>
      </c>
      <c r="C203" s="8" t="s">
        <v>86</v>
      </c>
      <c r="D203" s="8" t="s">
        <v>238</v>
      </c>
      <c r="E203" s="8" t="s">
        <v>55</v>
      </c>
    </row>
    <row r="204" customFormat="false" ht="15" hidden="false" customHeight="false" outlineLevel="0" collapsed="false">
      <c r="A204" s="8" t="n">
        <v>100203</v>
      </c>
      <c r="B204" s="8" t="s">
        <v>74</v>
      </c>
      <c r="C204" s="8" t="s">
        <v>75</v>
      </c>
      <c r="D204" s="8" t="s">
        <v>156</v>
      </c>
      <c r="E204" s="8" t="s">
        <v>41</v>
      </c>
    </row>
    <row r="205" customFormat="false" ht="15" hidden="false" customHeight="false" outlineLevel="0" collapsed="false">
      <c r="A205" s="8" t="n">
        <v>100204</v>
      </c>
      <c r="B205" s="8" t="s">
        <v>90</v>
      </c>
      <c r="C205" s="8" t="s">
        <v>75</v>
      </c>
      <c r="D205" s="8" t="s">
        <v>239</v>
      </c>
      <c r="E205" s="8" t="s">
        <v>51</v>
      </c>
    </row>
    <row r="206" customFormat="false" ht="15" hidden="false" customHeight="false" outlineLevel="0" collapsed="false">
      <c r="A206" s="8" t="n">
        <v>100205</v>
      </c>
      <c r="B206" s="8" t="s">
        <v>82</v>
      </c>
      <c r="C206" s="8" t="s">
        <v>83</v>
      </c>
      <c r="D206" s="8" t="s">
        <v>109</v>
      </c>
      <c r="E206" s="8" t="s">
        <v>45</v>
      </c>
    </row>
    <row r="207" customFormat="false" ht="15" hidden="false" customHeight="false" outlineLevel="0" collapsed="false">
      <c r="A207" s="8" t="n">
        <v>100206</v>
      </c>
      <c r="B207" s="8" t="s">
        <v>74</v>
      </c>
      <c r="C207" s="8" t="s">
        <v>75</v>
      </c>
      <c r="D207" s="8" t="s">
        <v>240</v>
      </c>
      <c r="E207" s="8" t="s">
        <v>39</v>
      </c>
    </row>
    <row r="208" customFormat="false" ht="15" hidden="false" customHeight="false" outlineLevel="0" collapsed="false">
      <c r="A208" s="8" t="n">
        <v>100207</v>
      </c>
      <c r="B208" s="8" t="s">
        <v>85</v>
      </c>
      <c r="C208" s="8" t="s">
        <v>86</v>
      </c>
      <c r="D208" s="8" t="s">
        <v>241</v>
      </c>
      <c r="E208" s="8" t="s">
        <v>53</v>
      </c>
    </row>
    <row r="209" customFormat="false" ht="15" hidden="false" customHeight="false" outlineLevel="0" collapsed="false">
      <c r="A209" s="8" t="n">
        <v>100208</v>
      </c>
      <c r="B209" s="8" t="s">
        <v>85</v>
      </c>
      <c r="C209" s="8" t="s">
        <v>86</v>
      </c>
      <c r="D209" s="8" t="s">
        <v>153</v>
      </c>
      <c r="E209" s="8" t="s">
        <v>43</v>
      </c>
    </row>
    <row r="210" customFormat="false" ht="15" hidden="false" customHeight="false" outlineLevel="0" collapsed="false">
      <c r="A210" s="8" t="n">
        <v>100209</v>
      </c>
      <c r="B210" s="8" t="s">
        <v>85</v>
      </c>
      <c r="C210" s="8" t="s">
        <v>86</v>
      </c>
      <c r="D210" s="8" t="s">
        <v>76</v>
      </c>
      <c r="E210" s="8" t="s">
        <v>55</v>
      </c>
    </row>
    <row r="211" customFormat="false" ht="15" hidden="false" customHeight="false" outlineLevel="0" collapsed="false">
      <c r="A211" s="8" t="n">
        <v>100210</v>
      </c>
      <c r="B211" s="8" t="s">
        <v>74</v>
      </c>
      <c r="C211" s="8" t="s">
        <v>75</v>
      </c>
      <c r="D211" s="8" t="s">
        <v>125</v>
      </c>
      <c r="E211" s="8" t="s">
        <v>49</v>
      </c>
    </row>
    <row r="212" customFormat="false" ht="15" hidden="false" customHeight="false" outlineLevel="0" collapsed="false">
      <c r="A212" s="8" t="n">
        <v>100211</v>
      </c>
      <c r="B212" s="8" t="s">
        <v>93</v>
      </c>
      <c r="C212" s="8" t="s">
        <v>83</v>
      </c>
      <c r="D212" s="8" t="s">
        <v>163</v>
      </c>
      <c r="E212" s="8" t="s">
        <v>39</v>
      </c>
    </row>
    <row r="213" customFormat="false" ht="15" hidden="false" customHeight="false" outlineLevel="0" collapsed="false">
      <c r="A213" s="8" t="n">
        <v>100212</v>
      </c>
      <c r="B213" s="8" t="s">
        <v>93</v>
      </c>
      <c r="C213" s="8" t="s">
        <v>83</v>
      </c>
      <c r="D213" s="8" t="s">
        <v>226</v>
      </c>
      <c r="E213" s="8" t="s">
        <v>53</v>
      </c>
    </row>
    <row r="214" customFormat="false" ht="15" hidden="false" customHeight="false" outlineLevel="0" collapsed="false">
      <c r="A214" s="8" t="n">
        <v>100213</v>
      </c>
      <c r="B214" s="8" t="s">
        <v>93</v>
      </c>
      <c r="C214" s="8" t="s">
        <v>83</v>
      </c>
      <c r="D214" s="8" t="s">
        <v>242</v>
      </c>
      <c r="E214" s="8" t="s">
        <v>43</v>
      </c>
    </row>
    <row r="215" customFormat="false" ht="15" hidden="false" customHeight="false" outlineLevel="0" collapsed="false">
      <c r="A215" s="8" t="n">
        <v>100214</v>
      </c>
      <c r="B215" s="8" t="s">
        <v>104</v>
      </c>
      <c r="C215" s="8" t="s">
        <v>86</v>
      </c>
      <c r="D215" s="8" t="s">
        <v>243</v>
      </c>
      <c r="E215" s="8" t="s">
        <v>53</v>
      </c>
    </row>
    <row r="216" customFormat="false" ht="15" hidden="false" customHeight="false" outlineLevel="0" collapsed="false">
      <c r="A216" s="8" t="n">
        <v>100215</v>
      </c>
      <c r="B216" s="8" t="s">
        <v>93</v>
      </c>
      <c r="C216" s="8" t="s">
        <v>83</v>
      </c>
      <c r="D216" s="8" t="s">
        <v>180</v>
      </c>
      <c r="E216" s="8" t="s">
        <v>55</v>
      </c>
    </row>
    <row r="217" customFormat="false" ht="15" hidden="false" customHeight="false" outlineLevel="0" collapsed="false">
      <c r="A217" s="8" t="n">
        <v>100216</v>
      </c>
      <c r="B217" s="8" t="s">
        <v>74</v>
      </c>
      <c r="C217" s="8" t="s">
        <v>75</v>
      </c>
      <c r="D217" s="8" t="s">
        <v>244</v>
      </c>
      <c r="E217" s="8" t="s">
        <v>55</v>
      </c>
    </row>
    <row r="218" customFormat="false" ht="15" hidden="false" customHeight="false" outlineLevel="0" collapsed="false">
      <c r="A218" s="8" t="n">
        <v>100217</v>
      </c>
      <c r="B218" s="8" t="s">
        <v>99</v>
      </c>
      <c r="C218" s="8" t="s">
        <v>100</v>
      </c>
      <c r="D218" s="8" t="s">
        <v>152</v>
      </c>
      <c r="E218" s="8" t="s">
        <v>45</v>
      </c>
    </row>
    <row r="219" customFormat="false" ht="15" hidden="false" customHeight="false" outlineLevel="0" collapsed="false">
      <c r="A219" s="8" t="n">
        <v>100218</v>
      </c>
      <c r="B219" s="8" t="s">
        <v>104</v>
      </c>
      <c r="C219" s="8" t="s">
        <v>86</v>
      </c>
      <c r="D219" s="8" t="s">
        <v>159</v>
      </c>
      <c r="E219" s="8" t="s">
        <v>39</v>
      </c>
    </row>
    <row r="220" customFormat="false" ht="15" hidden="false" customHeight="false" outlineLevel="0" collapsed="false">
      <c r="A220" s="8" t="n">
        <v>100219</v>
      </c>
      <c r="B220" s="8" t="s">
        <v>93</v>
      </c>
      <c r="C220" s="8" t="s">
        <v>83</v>
      </c>
      <c r="D220" s="8" t="s">
        <v>197</v>
      </c>
      <c r="E220" s="8" t="s">
        <v>47</v>
      </c>
    </row>
    <row r="221" customFormat="false" ht="15" hidden="false" customHeight="false" outlineLevel="0" collapsed="false">
      <c r="A221" s="8" t="n">
        <v>100220</v>
      </c>
      <c r="B221" s="8" t="s">
        <v>74</v>
      </c>
      <c r="C221" s="8" t="s">
        <v>75</v>
      </c>
      <c r="D221" s="8" t="s">
        <v>245</v>
      </c>
      <c r="E221" s="8" t="s">
        <v>43</v>
      </c>
    </row>
    <row r="224" customFormat="false" ht="15" hidden="false" customHeight="false" outlineLevel="0" collapsed="false">
      <c r="A224" s="10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8"/>
  </cols>
  <sheetData>
    <row r="1" customFormat="false" ht="15" hidden="false" customHeight="false" outlineLevel="0" collapsed="false">
      <c r="A1" s="6" t="s">
        <v>66</v>
      </c>
      <c r="B1" s="6" t="s">
        <v>59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32</v>
      </c>
    </row>
    <row r="2" customFormat="false" ht="15" hidden="false" customHeight="false" outlineLevel="0" collapsed="false">
      <c r="A2" s="8" t="n">
        <v>100001</v>
      </c>
      <c r="B2" s="8" t="s">
        <v>61</v>
      </c>
      <c r="C2" s="9" t="n">
        <v>224.32</v>
      </c>
      <c r="D2" s="9" t="n">
        <v>180.57</v>
      </c>
      <c r="E2" s="8" t="s">
        <v>77</v>
      </c>
      <c r="F2" s="8" t="s">
        <v>78</v>
      </c>
      <c r="G2" s="8" t="n">
        <v>2.6</v>
      </c>
    </row>
    <row r="3" customFormat="false" ht="15" hidden="false" customHeight="false" outlineLevel="0" collapsed="false">
      <c r="A3" s="8" t="n">
        <v>100002</v>
      </c>
      <c r="B3" s="8" t="s">
        <v>61</v>
      </c>
      <c r="C3" s="9" t="n">
        <v>109.68</v>
      </c>
      <c r="D3" s="9" t="n">
        <v>92.34</v>
      </c>
      <c r="E3" s="8" t="s">
        <v>77</v>
      </c>
      <c r="F3" s="8" t="s">
        <v>78</v>
      </c>
      <c r="G3" s="8" t="n">
        <v>1.3</v>
      </c>
    </row>
    <row r="4" customFormat="false" ht="15" hidden="false" customHeight="false" outlineLevel="0" collapsed="false">
      <c r="A4" s="8" t="n">
        <v>100003</v>
      </c>
      <c r="B4" s="8" t="s">
        <v>64</v>
      </c>
      <c r="C4" s="9" t="n">
        <v>79.06</v>
      </c>
      <c r="D4" s="9" t="n">
        <v>45.38</v>
      </c>
      <c r="E4" s="8" t="s">
        <v>77</v>
      </c>
      <c r="F4" s="8" t="s">
        <v>78</v>
      </c>
      <c r="G4" s="8" t="n">
        <v>0.7</v>
      </c>
    </row>
    <row r="5" customFormat="false" ht="15" hidden="false" customHeight="false" outlineLevel="0" collapsed="false">
      <c r="A5" s="8" t="n">
        <v>100004</v>
      </c>
      <c r="B5" s="8" t="s">
        <v>63</v>
      </c>
      <c r="C5" s="9" t="n">
        <v>244.39</v>
      </c>
      <c r="D5" s="9" t="n">
        <v>194.59</v>
      </c>
      <c r="E5" s="8" t="s">
        <v>77</v>
      </c>
      <c r="F5" s="8" t="s">
        <v>78</v>
      </c>
      <c r="G5" s="8" t="n">
        <v>2.8</v>
      </c>
    </row>
    <row r="6" customFormat="false" ht="15" hidden="false" customHeight="false" outlineLevel="0" collapsed="false">
      <c r="A6" s="8" t="n">
        <v>100005</v>
      </c>
      <c r="B6" s="8" t="s">
        <v>65</v>
      </c>
      <c r="C6" s="9" t="n">
        <v>348.04</v>
      </c>
      <c r="D6" s="9" t="n">
        <v>236.53</v>
      </c>
      <c r="E6" s="8" t="s">
        <v>77</v>
      </c>
      <c r="F6" s="8" t="s">
        <v>78</v>
      </c>
      <c r="G6" s="8" t="n">
        <v>2.6</v>
      </c>
    </row>
    <row r="7" customFormat="false" ht="15" hidden="false" customHeight="false" outlineLevel="0" collapsed="false">
      <c r="A7" s="8" t="n">
        <v>100006</v>
      </c>
      <c r="B7" s="8" t="s">
        <v>65</v>
      </c>
      <c r="C7" s="9" t="n">
        <v>350.34</v>
      </c>
      <c r="D7" s="9" t="n">
        <v>261.42</v>
      </c>
      <c r="E7" s="8" t="s">
        <v>77</v>
      </c>
      <c r="F7" s="8" t="s">
        <v>78</v>
      </c>
      <c r="G7" s="8" t="n">
        <v>2.6</v>
      </c>
    </row>
    <row r="8" customFormat="false" ht="15" hidden="false" customHeight="false" outlineLevel="0" collapsed="false">
      <c r="A8" s="8" t="n">
        <v>100007</v>
      </c>
      <c r="B8" s="8" t="s">
        <v>62</v>
      </c>
      <c r="C8" s="9" t="n">
        <v>188.02</v>
      </c>
      <c r="D8" s="9" t="n">
        <v>130.63</v>
      </c>
      <c r="E8" s="8" t="s">
        <v>77</v>
      </c>
      <c r="F8" s="8" t="s">
        <v>78</v>
      </c>
      <c r="G8" s="8" t="n">
        <v>2.6</v>
      </c>
    </row>
    <row r="9" customFormat="false" ht="15" hidden="false" customHeight="false" outlineLevel="0" collapsed="false">
      <c r="A9" s="8" t="n">
        <v>100008</v>
      </c>
      <c r="B9" s="8" t="s">
        <v>62</v>
      </c>
      <c r="C9" s="9" t="n">
        <v>125.75</v>
      </c>
      <c r="D9" s="9" t="n">
        <v>80.32</v>
      </c>
      <c r="E9" s="8" t="s">
        <v>77</v>
      </c>
      <c r="F9" s="8" t="s">
        <v>78</v>
      </c>
      <c r="G9" s="8" t="n">
        <v>2.1</v>
      </c>
    </row>
    <row r="10" customFormat="false" ht="15" hidden="false" customHeight="false" outlineLevel="0" collapsed="false">
      <c r="A10" s="8" t="n">
        <v>100009</v>
      </c>
      <c r="B10" s="8" t="s">
        <v>65</v>
      </c>
      <c r="C10" s="9" t="n">
        <v>177.41</v>
      </c>
      <c r="D10" s="9" t="n">
        <v>166.17</v>
      </c>
      <c r="E10" s="8" t="s">
        <v>77</v>
      </c>
      <c r="F10" s="8" t="s">
        <v>78</v>
      </c>
      <c r="G10" s="8" t="n">
        <v>1.6</v>
      </c>
    </row>
    <row r="11" customFormat="false" ht="15" hidden="false" customHeight="false" outlineLevel="0" collapsed="false">
      <c r="A11" s="8" t="n">
        <v>100010</v>
      </c>
      <c r="B11" s="8" t="s">
        <v>61</v>
      </c>
      <c r="C11" s="9" t="n">
        <v>170.22</v>
      </c>
      <c r="D11" s="9" t="n">
        <v>109.08</v>
      </c>
      <c r="E11" s="8" t="s">
        <v>77</v>
      </c>
      <c r="F11" s="8" t="s">
        <v>78</v>
      </c>
      <c r="G11" s="8" t="n">
        <v>1.6</v>
      </c>
    </row>
    <row r="12" customFormat="false" ht="15" hidden="false" customHeight="false" outlineLevel="0" collapsed="false">
      <c r="A12" s="8" t="n">
        <v>100011</v>
      </c>
      <c r="B12" s="8" t="s">
        <v>64</v>
      </c>
      <c r="C12" s="9" t="n">
        <v>24.77</v>
      </c>
      <c r="D12" s="9" t="n">
        <v>15.65</v>
      </c>
      <c r="E12" s="8" t="s">
        <v>77</v>
      </c>
      <c r="F12" s="8" t="s">
        <v>78</v>
      </c>
      <c r="G12" s="8" t="n">
        <v>0.18</v>
      </c>
    </row>
    <row r="13" customFormat="false" ht="15" hidden="false" customHeight="false" outlineLevel="0" collapsed="false">
      <c r="A13" s="8" t="n">
        <v>100012</v>
      </c>
      <c r="B13" s="8" t="s">
        <v>65</v>
      </c>
      <c r="C13" s="9" t="n">
        <v>21.01</v>
      </c>
      <c r="D13" s="9" t="n">
        <v>0</v>
      </c>
      <c r="E13" s="8" t="s">
        <v>98</v>
      </c>
      <c r="F13" s="8" t="s">
        <v>78</v>
      </c>
      <c r="G13" s="8" t="n">
        <v>0.18</v>
      </c>
    </row>
    <row r="14" customFormat="false" ht="15" hidden="false" customHeight="false" outlineLevel="0" collapsed="false">
      <c r="A14" s="8" t="n">
        <v>100013</v>
      </c>
      <c r="B14" s="8" t="s">
        <v>61</v>
      </c>
      <c r="C14" s="9" t="n">
        <v>141.45</v>
      </c>
      <c r="D14" s="9" t="n">
        <v>93</v>
      </c>
      <c r="E14" s="8" t="s">
        <v>77</v>
      </c>
      <c r="F14" s="8" t="s">
        <v>78</v>
      </c>
      <c r="G14" s="8" t="n">
        <v>1.3</v>
      </c>
    </row>
    <row r="15" customFormat="false" ht="15" hidden="false" customHeight="false" outlineLevel="0" collapsed="false">
      <c r="A15" s="8" t="n">
        <v>100014</v>
      </c>
      <c r="B15" s="8" t="s">
        <v>64</v>
      </c>
      <c r="C15" s="9" t="n">
        <v>99.09</v>
      </c>
      <c r="D15" s="9" t="n">
        <v>73.11</v>
      </c>
      <c r="E15" s="8" t="s">
        <v>77</v>
      </c>
      <c r="F15" s="8" t="s">
        <v>78</v>
      </c>
      <c r="G15" s="8" t="n">
        <v>0.7</v>
      </c>
    </row>
    <row r="16" customFormat="false" ht="15" hidden="false" customHeight="false" outlineLevel="0" collapsed="false">
      <c r="A16" s="8" t="n">
        <v>100015</v>
      </c>
      <c r="B16" s="8" t="s">
        <v>65</v>
      </c>
      <c r="C16" s="9" t="n">
        <v>344.05</v>
      </c>
      <c r="D16" s="9" t="n">
        <v>225.28</v>
      </c>
      <c r="E16" s="8" t="s">
        <v>77</v>
      </c>
      <c r="F16" s="8" t="s">
        <v>78</v>
      </c>
      <c r="G16" s="8" t="n">
        <v>2.6</v>
      </c>
    </row>
    <row r="17" customFormat="false" ht="15" hidden="false" customHeight="false" outlineLevel="0" collapsed="false">
      <c r="A17" s="8" t="n">
        <v>100016</v>
      </c>
      <c r="B17" s="8" t="s">
        <v>65</v>
      </c>
      <c r="C17" s="9" t="n">
        <v>325.32</v>
      </c>
      <c r="D17" s="9" t="n">
        <v>240.84</v>
      </c>
      <c r="E17" s="8" t="s">
        <v>77</v>
      </c>
      <c r="F17" s="8" t="s">
        <v>78</v>
      </c>
      <c r="G17" s="8" t="n">
        <v>2.8</v>
      </c>
    </row>
    <row r="18" customFormat="false" ht="15" hidden="false" customHeight="false" outlineLevel="0" collapsed="false">
      <c r="A18" s="8" t="n">
        <v>100017</v>
      </c>
      <c r="B18" s="8" t="s">
        <v>62</v>
      </c>
      <c r="C18" s="9" t="n">
        <v>143.34</v>
      </c>
      <c r="D18" s="9" t="n">
        <v>77.38</v>
      </c>
      <c r="E18" s="8" t="s">
        <v>77</v>
      </c>
      <c r="F18" s="8" t="s">
        <v>78</v>
      </c>
      <c r="G18" s="8" t="n">
        <v>2.1</v>
      </c>
    </row>
    <row r="19" customFormat="false" ht="15" hidden="false" customHeight="false" outlineLevel="0" collapsed="false">
      <c r="A19" s="8" t="n">
        <v>100018</v>
      </c>
      <c r="B19" s="8" t="s">
        <v>64</v>
      </c>
      <c r="C19" s="9" t="n">
        <v>141.64</v>
      </c>
      <c r="D19" s="9" t="n">
        <v>138.18</v>
      </c>
      <c r="E19" s="8" t="s">
        <v>77</v>
      </c>
      <c r="F19" s="8" t="s">
        <v>78</v>
      </c>
      <c r="G19" s="8" t="n">
        <v>1.3</v>
      </c>
    </row>
    <row r="20" customFormat="false" ht="15" hidden="false" customHeight="false" outlineLevel="0" collapsed="false">
      <c r="A20" s="8" t="n">
        <v>100019</v>
      </c>
      <c r="B20" s="8" t="s">
        <v>62</v>
      </c>
      <c r="C20" s="9" t="n">
        <v>50.44</v>
      </c>
      <c r="D20" s="9" t="n">
        <v>31.17</v>
      </c>
      <c r="E20" s="8" t="s">
        <v>77</v>
      </c>
      <c r="F20" s="8" t="s">
        <v>78</v>
      </c>
      <c r="G20" s="8" t="n">
        <v>0.7</v>
      </c>
    </row>
    <row r="21" customFormat="false" ht="15" hidden="false" customHeight="false" outlineLevel="0" collapsed="false">
      <c r="A21" s="8" t="n">
        <v>100020</v>
      </c>
      <c r="B21" s="8" t="s">
        <v>64</v>
      </c>
      <c r="C21" s="9" t="n">
        <v>53.87</v>
      </c>
      <c r="D21" s="9" t="n">
        <v>45.23</v>
      </c>
      <c r="E21" s="8" t="s">
        <v>77</v>
      </c>
      <c r="F21" s="8" t="s">
        <v>78</v>
      </c>
      <c r="G21" s="8" t="n">
        <v>0.5</v>
      </c>
    </row>
    <row r="22" customFormat="false" ht="15" hidden="false" customHeight="false" outlineLevel="0" collapsed="false">
      <c r="A22" s="8" t="n">
        <v>100021</v>
      </c>
      <c r="B22" s="8" t="s">
        <v>64</v>
      </c>
      <c r="C22" s="9" t="n">
        <v>251.92</v>
      </c>
      <c r="D22" s="9" t="n">
        <v>183.91</v>
      </c>
      <c r="E22" s="8" t="s">
        <v>77</v>
      </c>
      <c r="F22" s="8" t="s">
        <v>78</v>
      </c>
      <c r="G22" s="8" t="n">
        <v>2.1</v>
      </c>
    </row>
    <row r="23" customFormat="false" ht="15" hidden="false" customHeight="false" outlineLevel="0" collapsed="false">
      <c r="A23" s="8" t="n">
        <v>100022</v>
      </c>
      <c r="B23" s="8" t="s">
        <v>65</v>
      </c>
      <c r="C23" s="9" t="n">
        <v>55.16</v>
      </c>
      <c r="D23" s="9" t="n">
        <v>44.35</v>
      </c>
      <c r="E23" s="8" t="s">
        <v>77</v>
      </c>
      <c r="F23" s="8" t="s">
        <v>78</v>
      </c>
      <c r="G23" s="8" t="n">
        <v>0.5</v>
      </c>
    </row>
    <row r="24" customFormat="false" ht="15" hidden="false" customHeight="false" outlineLevel="0" collapsed="false">
      <c r="A24" s="8" t="n">
        <v>100023</v>
      </c>
      <c r="B24" s="8" t="s">
        <v>61</v>
      </c>
      <c r="C24" s="9" t="n">
        <v>171.37</v>
      </c>
      <c r="D24" s="9" t="n">
        <v>107.71</v>
      </c>
      <c r="E24" s="8" t="s">
        <v>77</v>
      </c>
      <c r="F24" s="8" t="s">
        <v>78</v>
      </c>
      <c r="G24" s="8" t="n">
        <v>2.1</v>
      </c>
    </row>
    <row r="25" customFormat="false" ht="15" hidden="false" customHeight="false" outlineLevel="0" collapsed="false">
      <c r="A25" s="8" t="n">
        <v>100024</v>
      </c>
      <c r="B25" s="8" t="s">
        <v>62</v>
      </c>
      <c r="C25" s="9" t="n">
        <v>21.19</v>
      </c>
      <c r="D25" s="9" t="n">
        <v>13.94</v>
      </c>
      <c r="E25" s="8" t="s">
        <v>77</v>
      </c>
      <c r="F25" s="8" t="s">
        <v>78</v>
      </c>
      <c r="G25" s="8" t="n">
        <v>0.3</v>
      </c>
    </row>
    <row r="26" customFormat="false" ht="15" hidden="false" customHeight="false" outlineLevel="0" collapsed="false">
      <c r="A26" s="8" t="n">
        <v>100025</v>
      </c>
      <c r="B26" s="8" t="s">
        <v>64</v>
      </c>
      <c r="C26" s="9" t="n">
        <v>171.46</v>
      </c>
      <c r="D26" s="9" t="n">
        <v>0</v>
      </c>
      <c r="E26" s="8" t="s">
        <v>98</v>
      </c>
      <c r="F26" s="8" t="s">
        <v>78</v>
      </c>
      <c r="G26" s="8" t="n">
        <v>1.3</v>
      </c>
    </row>
    <row r="27" customFormat="false" ht="15" hidden="false" customHeight="false" outlineLevel="0" collapsed="false">
      <c r="A27" s="8" t="n">
        <v>100026</v>
      </c>
      <c r="B27" s="8" t="s">
        <v>64</v>
      </c>
      <c r="C27" s="9" t="n">
        <v>282.42</v>
      </c>
      <c r="D27" s="9" t="n">
        <v>187.41</v>
      </c>
      <c r="E27" s="8" t="s">
        <v>77</v>
      </c>
      <c r="F27" s="8" t="s">
        <v>78</v>
      </c>
      <c r="G27" s="8" t="n">
        <v>2.1</v>
      </c>
    </row>
    <row r="28" customFormat="false" ht="15" hidden="false" customHeight="false" outlineLevel="0" collapsed="false">
      <c r="A28" s="8" t="n">
        <v>100027</v>
      </c>
      <c r="B28" s="8" t="s">
        <v>62</v>
      </c>
      <c r="C28" s="9" t="n">
        <v>160.27</v>
      </c>
      <c r="D28" s="9" t="n">
        <v>120.18</v>
      </c>
      <c r="E28" s="8" t="s">
        <v>77</v>
      </c>
      <c r="F28" s="8" t="s">
        <v>78</v>
      </c>
      <c r="G28" s="8" t="n">
        <v>2.6</v>
      </c>
    </row>
    <row r="29" customFormat="false" ht="15" hidden="false" customHeight="false" outlineLevel="0" collapsed="false">
      <c r="A29" s="8" t="n">
        <v>100028</v>
      </c>
      <c r="B29" s="8" t="s">
        <v>65</v>
      </c>
      <c r="C29" s="9" t="n">
        <v>187.15</v>
      </c>
      <c r="D29" s="9" t="n">
        <v>0</v>
      </c>
      <c r="E29" s="8" t="s">
        <v>116</v>
      </c>
      <c r="F29" s="8" t="s">
        <v>117</v>
      </c>
      <c r="G29" s="8" t="n">
        <v>1.3</v>
      </c>
    </row>
    <row r="30" customFormat="false" ht="15" hidden="false" customHeight="false" outlineLevel="0" collapsed="false">
      <c r="A30" s="8" t="n">
        <v>100029</v>
      </c>
      <c r="B30" s="8" t="s">
        <v>64</v>
      </c>
      <c r="C30" s="9" t="n">
        <v>33.65</v>
      </c>
      <c r="D30" s="9" t="n">
        <v>26.8</v>
      </c>
      <c r="E30" s="8" t="s">
        <v>77</v>
      </c>
      <c r="F30" s="8" t="s">
        <v>78</v>
      </c>
      <c r="G30" s="8" t="n">
        <v>0.3</v>
      </c>
    </row>
    <row r="31" customFormat="false" ht="15" hidden="false" customHeight="false" outlineLevel="0" collapsed="false">
      <c r="A31" s="8" t="n">
        <v>100030</v>
      </c>
      <c r="B31" s="8" t="s">
        <v>64</v>
      </c>
      <c r="C31" s="9" t="n">
        <v>308.28</v>
      </c>
      <c r="D31" s="9" t="n">
        <v>0</v>
      </c>
      <c r="E31" s="8" t="s">
        <v>116</v>
      </c>
      <c r="F31" s="8" t="s">
        <v>120</v>
      </c>
      <c r="G31" s="8" t="n">
        <v>2.6</v>
      </c>
    </row>
    <row r="32" customFormat="false" ht="15" hidden="false" customHeight="false" outlineLevel="0" collapsed="false">
      <c r="A32" s="8" t="n">
        <v>100031</v>
      </c>
      <c r="B32" s="8" t="s">
        <v>62</v>
      </c>
      <c r="C32" s="9" t="n">
        <v>147.26</v>
      </c>
      <c r="D32" s="9" t="n">
        <v>84.04</v>
      </c>
      <c r="E32" s="8" t="s">
        <v>77</v>
      </c>
      <c r="F32" s="8" t="s">
        <v>78</v>
      </c>
      <c r="G32" s="8" t="n">
        <v>2.6</v>
      </c>
    </row>
    <row r="33" customFormat="false" ht="15" hidden="false" customHeight="false" outlineLevel="0" collapsed="false">
      <c r="A33" s="8" t="n">
        <v>100032</v>
      </c>
      <c r="B33" s="8" t="s">
        <v>61</v>
      </c>
      <c r="C33" s="9" t="n">
        <v>65.5</v>
      </c>
      <c r="D33" s="9" t="n">
        <v>46.72</v>
      </c>
      <c r="E33" s="8" t="s">
        <v>77</v>
      </c>
      <c r="F33" s="8" t="s">
        <v>78</v>
      </c>
      <c r="G33" s="8" t="n">
        <v>0.7</v>
      </c>
    </row>
    <row r="34" customFormat="false" ht="15" hidden="false" customHeight="false" outlineLevel="0" collapsed="false">
      <c r="A34" s="8" t="n">
        <v>100033</v>
      </c>
      <c r="B34" s="8" t="s">
        <v>62</v>
      </c>
      <c r="C34" s="9" t="n">
        <v>119.09</v>
      </c>
      <c r="D34" s="9" t="n">
        <v>82.08</v>
      </c>
      <c r="E34" s="8" t="s">
        <v>77</v>
      </c>
      <c r="F34" s="8" t="s">
        <v>78</v>
      </c>
      <c r="G34" s="8" t="n">
        <v>1.92</v>
      </c>
    </row>
    <row r="35" customFormat="false" ht="15" hidden="false" customHeight="false" outlineLevel="0" collapsed="false">
      <c r="A35" s="8" t="n">
        <v>100034</v>
      </c>
      <c r="B35" s="8" t="s">
        <v>65</v>
      </c>
      <c r="C35" s="9" t="n">
        <v>220.88</v>
      </c>
      <c r="D35" s="9" t="n">
        <v>169.3</v>
      </c>
      <c r="E35" s="8" t="s">
        <v>77</v>
      </c>
      <c r="F35" s="8" t="s">
        <v>78</v>
      </c>
      <c r="G35" s="8" t="n">
        <v>1.92</v>
      </c>
    </row>
    <row r="36" customFormat="false" ht="15" hidden="false" customHeight="false" outlineLevel="0" collapsed="false">
      <c r="A36" s="8" t="n">
        <v>100035</v>
      </c>
      <c r="B36" s="8" t="s">
        <v>62</v>
      </c>
      <c r="C36" s="9" t="n">
        <v>156.72</v>
      </c>
      <c r="D36" s="9" t="n">
        <v>116.7</v>
      </c>
      <c r="E36" s="8" t="s">
        <v>77</v>
      </c>
      <c r="F36" s="8" t="s">
        <v>78</v>
      </c>
      <c r="G36" s="8" t="n">
        <v>2.6</v>
      </c>
    </row>
    <row r="37" customFormat="false" ht="15" hidden="false" customHeight="false" outlineLevel="0" collapsed="false">
      <c r="A37" s="8" t="n">
        <v>100036</v>
      </c>
      <c r="B37" s="8" t="s">
        <v>64</v>
      </c>
      <c r="C37" s="9" t="n">
        <v>99.16</v>
      </c>
      <c r="D37" s="9" t="n">
        <v>0</v>
      </c>
      <c r="E37" s="8" t="s">
        <v>98</v>
      </c>
      <c r="F37" s="8" t="s">
        <v>78</v>
      </c>
      <c r="G37" s="8" t="n">
        <v>0.7</v>
      </c>
    </row>
    <row r="38" customFormat="false" ht="15" hidden="false" customHeight="false" outlineLevel="0" collapsed="false">
      <c r="A38" s="8" t="n">
        <v>100037</v>
      </c>
      <c r="B38" s="8" t="s">
        <v>65</v>
      </c>
      <c r="C38" s="9" t="n">
        <v>278.21</v>
      </c>
      <c r="D38" s="9" t="n">
        <v>226.47</v>
      </c>
      <c r="E38" s="8" t="s">
        <v>77</v>
      </c>
      <c r="F38" s="8" t="s">
        <v>78</v>
      </c>
      <c r="G38" s="8" t="n">
        <v>2.6</v>
      </c>
    </row>
    <row r="39" customFormat="false" ht="15" hidden="false" customHeight="false" outlineLevel="0" collapsed="false">
      <c r="A39" s="8" t="n">
        <v>100038</v>
      </c>
      <c r="B39" s="8" t="s">
        <v>64</v>
      </c>
      <c r="C39" s="9" t="n">
        <v>64.53</v>
      </c>
      <c r="D39" s="9" t="n">
        <v>50.52</v>
      </c>
      <c r="E39" s="8" t="s">
        <v>77</v>
      </c>
      <c r="F39" s="8" t="s">
        <v>78</v>
      </c>
      <c r="G39" s="8" t="n">
        <v>0.5</v>
      </c>
    </row>
    <row r="40" customFormat="false" ht="15" hidden="false" customHeight="false" outlineLevel="0" collapsed="false">
      <c r="A40" s="8" t="n">
        <v>100039</v>
      </c>
      <c r="B40" s="8" t="s">
        <v>61</v>
      </c>
      <c r="C40" s="9" t="n">
        <v>232.23</v>
      </c>
      <c r="D40" s="9" t="n">
        <v>133.79</v>
      </c>
      <c r="E40" s="8" t="s">
        <v>77</v>
      </c>
      <c r="F40" s="8" t="s">
        <v>78</v>
      </c>
      <c r="G40" s="8" t="n">
        <v>2.8</v>
      </c>
    </row>
    <row r="41" customFormat="false" ht="15" hidden="false" customHeight="false" outlineLevel="0" collapsed="false">
      <c r="A41" s="8" t="n">
        <v>100040</v>
      </c>
      <c r="B41" s="8" t="s">
        <v>63</v>
      </c>
      <c r="C41" s="9" t="n">
        <v>175.12</v>
      </c>
      <c r="D41" s="9" t="n">
        <v>118.21</v>
      </c>
      <c r="E41" s="8" t="s">
        <v>77</v>
      </c>
      <c r="F41" s="8" t="s">
        <v>78</v>
      </c>
      <c r="G41" s="8" t="n">
        <v>1.6</v>
      </c>
    </row>
    <row r="42" customFormat="false" ht="15" hidden="false" customHeight="false" outlineLevel="0" collapsed="false">
      <c r="A42" s="8" t="n">
        <v>100041</v>
      </c>
      <c r="B42" s="8" t="s">
        <v>64</v>
      </c>
      <c r="C42" s="9" t="n">
        <v>269.06</v>
      </c>
      <c r="D42" s="9" t="n">
        <v>236.62</v>
      </c>
      <c r="E42" s="8" t="s">
        <v>77</v>
      </c>
      <c r="F42" s="8" t="s">
        <v>78</v>
      </c>
      <c r="G42" s="8" t="n">
        <v>2.6</v>
      </c>
    </row>
    <row r="43" customFormat="false" ht="15" hidden="false" customHeight="false" outlineLevel="0" collapsed="false">
      <c r="A43" s="8" t="n">
        <v>100042</v>
      </c>
      <c r="B43" s="8" t="s">
        <v>65</v>
      </c>
      <c r="C43" s="9" t="n">
        <v>22.44</v>
      </c>
      <c r="D43" s="9" t="n">
        <v>18.46</v>
      </c>
      <c r="E43" s="8" t="s">
        <v>77</v>
      </c>
      <c r="F43" s="8" t="s">
        <v>78</v>
      </c>
      <c r="G43" s="8" t="n">
        <v>0.18</v>
      </c>
    </row>
    <row r="44" customFormat="false" ht="15" hidden="false" customHeight="false" outlineLevel="0" collapsed="false">
      <c r="A44" s="8" t="n">
        <v>100043</v>
      </c>
      <c r="B44" s="8" t="s">
        <v>63</v>
      </c>
      <c r="C44" s="9" t="n">
        <v>71.33</v>
      </c>
      <c r="D44" s="9" t="n">
        <v>50.59</v>
      </c>
      <c r="E44" s="8" t="s">
        <v>77</v>
      </c>
      <c r="F44" s="8" t="s">
        <v>78</v>
      </c>
      <c r="G44" s="8" t="n">
        <v>0.7</v>
      </c>
    </row>
    <row r="45" customFormat="false" ht="15" hidden="false" customHeight="false" outlineLevel="0" collapsed="false">
      <c r="A45" s="8" t="n">
        <v>100044</v>
      </c>
      <c r="B45" s="8" t="s">
        <v>62</v>
      </c>
      <c r="C45" s="9" t="n">
        <v>107.31</v>
      </c>
      <c r="D45" s="9" t="n">
        <v>75.66</v>
      </c>
      <c r="E45" s="8" t="s">
        <v>77</v>
      </c>
      <c r="F45" s="8" t="s">
        <v>78</v>
      </c>
      <c r="G45" s="8" t="n">
        <v>1.6</v>
      </c>
    </row>
    <row r="46" customFormat="false" ht="15" hidden="false" customHeight="false" outlineLevel="0" collapsed="false">
      <c r="A46" s="8" t="n">
        <v>100045</v>
      </c>
      <c r="B46" s="8" t="s">
        <v>62</v>
      </c>
      <c r="C46" s="9" t="n">
        <v>187.14</v>
      </c>
      <c r="D46" s="9" t="n">
        <v>92.74</v>
      </c>
      <c r="E46" s="8" t="s">
        <v>77</v>
      </c>
      <c r="F46" s="8" t="s">
        <v>78</v>
      </c>
      <c r="G46" s="8" t="n">
        <v>2.8</v>
      </c>
    </row>
    <row r="47" customFormat="false" ht="15" hidden="false" customHeight="false" outlineLevel="0" collapsed="false">
      <c r="A47" s="8" t="n">
        <v>100046</v>
      </c>
      <c r="B47" s="8" t="s">
        <v>63</v>
      </c>
      <c r="C47" s="9" t="n">
        <v>294.85</v>
      </c>
      <c r="D47" s="9" t="n">
        <v>231.04</v>
      </c>
      <c r="E47" s="8" t="s">
        <v>77</v>
      </c>
      <c r="F47" s="8" t="s">
        <v>78</v>
      </c>
      <c r="G47" s="8" t="n">
        <v>2.8</v>
      </c>
    </row>
    <row r="48" customFormat="false" ht="15" hidden="false" customHeight="false" outlineLevel="0" collapsed="false">
      <c r="A48" s="8" t="n">
        <v>100047</v>
      </c>
      <c r="B48" s="8" t="s">
        <v>64</v>
      </c>
      <c r="C48" s="9" t="n">
        <v>240.73</v>
      </c>
      <c r="D48" s="9" t="n">
        <v>181.66</v>
      </c>
      <c r="E48" s="8" t="s">
        <v>77</v>
      </c>
      <c r="F48" s="8" t="s">
        <v>78</v>
      </c>
      <c r="G48" s="8" t="n">
        <v>2.1</v>
      </c>
    </row>
    <row r="49" customFormat="false" ht="15" hidden="false" customHeight="false" outlineLevel="0" collapsed="false">
      <c r="A49" s="8" t="n">
        <v>100048</v>
      </c>
      <c r="B49" s="8" t="s">
        <v>63</v>
      </c>
      <c r="C49" s="9" t="n">
        <v>293.94</v>
      </c>
      <c r="D49" s="9" t="n">
        <v>0</v>
      </c>
      <c r="E49" s="8" t="s">
        <v>116</v>
      </c>
      <c r="F49" s="8" t="s">
        <v>138</v>
      </c>
      <c r="G49" s="8" t="n">
        <v>2.6</v>
      </c>
    </row>
    <row r="50" customFormat="false" ht="15" hidden="false" customHeight="false" outlineLevel="0" collapsed="false">
      <c r="A50" s="8" t="n">
        <v>100049</v>
      </c>
      <c r="B50" s="8" t="s">
        <v>65</v>
      </c>
      <c r="C50" s="9" t="n">
        <v>294.09</v>
      </c>
      <c r="D50" s="9" t="n">
        <v>201.36</v>
      </c>
      <c r="E50" s="8" t="s">
        <v>77</v>
      </c>
      <c r="F50" s="8" t="s">
        <v>78</v>
      </c>
      <c r="G50" s="8" t="n">
        <v>2.1</v>
      </c>
    </row>
    <row r="51" customFormat="false" ht="15" hidden="false" customHeight="false" outlineLevel="0" collapsed="false">
      <c r="A51" s="8" t="n">
        <v>100050</v>
      </c>
      <c r="B51" s="8" t="s">
        <v>61</v>
      </c>
      <c r="C51" s="9" t="n">
        <v>64.59</v>
      </c>
      <c r="D51" s="9" t="n">
        <v>48.31</v>
      </c>
      <c r="E51" s="8" t="s">
        <v>77</v>
      </c>
      <c r="F51" s="8" t="s">
        <v>78</v>
      </c>
      <c r="G51" s="8" t="n">
        <v>0.7</v>
      </c>
    </row>
    <row r="52" customFormat="false" ht="15" hidden="false" customHeight="false" outlineLevel="0" collapsed="false">
      <c r="A52" s="8" t="n">
        <v>100051</v>
      </c>
      <c r="B52" s="8" t="s">
        <v>64</v>
      </c>
      <c r="C52" s="9" t="n">
        <v>76.6</v>
      </c>
      <c r="D52" s="9" t="n">
        <v>62.07</v>
      </c>
      <c r="E52" s="8" t="s">
        <v>77</v>
      </c>
      <c r="F52" s="8" t="s">
        <v>78</v>
      </c>
      <c r="G52" s="8" t="n">
        <v>0.7</v>
      </c>
    </row>
    <row r="53" customFormat="false" ht="15" hidden="false" customHeight="false" outlineLevel="0" collapsed="false">
      <c r="A53" s="8" t="n">
        <v>100052</v>
      </c>
      <c r="B53" s="8" t="s">
        <v>64</v>
      </c>
      <c r="C53" s="9" t="n">
        <v>260.2</v>
      </c>
      <c r="D53" s="9" t="n">
        <v>166.62</v>
      </c>
      <c r="E53" s="8" t="s">
        <v>77</v>
      </c>
      <c r="F53" s="8" t="s">
        <v>78</v>
      </c>
      <c r="G53" s="8" t="n">
        <v>1.92</v>
      </c>
    </row>
    <row r="54" customFormat="false" ht="15" hidden="false" customHeight="false" outlineLevel="0" collapsed="false">
      <c r="A54" s="8" t="n">
        <v>100053</v>
      </c>
      <c r="B54" s="8" t="s">
        <v>65</v>
      </c>
      <c r="C54" s="9" t="n">
        <v>333.52</v>
      </c>
      <c r="D54" s="9" t="n">
        <v>186.5</v>
      </c>
      <c r="E54" s="8" t="s">
        <v>77</v>
      </c>
      <c r="F54" s="8" t="s">
        <v>78</v>
      </c>
      <c r="G54" s="8" t="n">
        <v>2.6</v>
      </c>
    </row>
    <row r="55" customFormat="false" ht="15" hidden="false" customHeight="false" outlineLevel="0" collapsed="false">
      <c r="A55" s="8" t="n">
        <v>100054</v>
      </c>
      <c r="B55" s="8" t="s">
        <v>64</v>
      </c>
      <c r="C55" s="9" t="n">
        <v>336.77</v>
      </c>
      <c r="D55" s="9" t="n">
        <v>228.93</v>
      </c>
      <c r="E55" s="8" t="s">
        <v>77</v>
      </c>
      <c r="F55" s="8" t="s">
        <v>78</v>
      </c>
      <c r="G55" s="8" t="n">
        <v>2.8</v>
      </c>
    </row>
    <row r="56" customFormat="false" ht="15" hidden="false" customHeight="false" outlineLevel="0" collapsed="false">
      <c r="A56" s="8" t="n">
        <v>100055</v>
      </c>
      <c r="B56" s="8" t="s">
        <v>64</v>
      </c>
      <c r="C56" s="9" t="n">
        <v>88.23</v>
      </c>
      <c r="D56" s="9" t="n">
        <v>62.65</v>
      </c>
      <c r="E56" s="8" t="s">
        <v>77</v>
      </c>
      <c r="F56" s="8" t="s">
        <v>78</v>
      </c>
      <c r="G56" s="8" t="n">
        <v>0.7</v>
      </c>
    </row>
    <row r="57" customFormat="false" ht="15" hidden="false" customHeight="false" outlineLevel="0" collapsed="false">
      <c r="A57" s="8" t="n">
        <v>100056</v>
      </c>
      <c r="B57" s="8" t="s">
        <v>62</v>
      </c>
      <c r="C57" s="9" t="n">
        <v>107.33</v>
      </c>
      <c r="D57" s="9" t="n">
        <v>81.95</v>
      </c>
      <c r="E57" s="8" t="s">
        <v>77</v>
      </c>
      <c r="F57" s="8" t="s">
        <v>78</v>
      </c>
      <c r="G57" s="8" t="n">
        <v>1.92</v>
      </c>
    </row>
    <row r="58" customFormat="false" ht="15" hidden="false" customHeight="false" outlineLevel="0" collapsed="false">
      <c r="A58" s="8" t="n">
        <v>100057</v>
      </c>
      <c r="B58" s="8" t="s">
        <v>62</v>
      </c>
      <c r="C58" s="9" t="n">
        <v>90.01</v>
      </c>
      <c r="D58" s="9" t="n">
        <v>84.49</v>
      </c>
      <c r="E58" s="8" t="s">
        <v>77</v>
      </c>
      <c r="F58" s="8" t="s">
        <v>78</v>
      </c>
      <c r="G58" s="8" t="n">
        <v>1.6</v>
      </c>
    </row>
    <row r="59" customFormat="false" ht="15" hidden="false" customHeight="false" outlineLevel="0" collapsed="false">
      <c r="A59" s="8" t="n">
        <v>100058</v>
      </c>
      <c r="B59" s="8" t="s">
        <v>64</v>
      </c>
      <c r="C59" s="9" t="n">
        <v>76.72</v>
      </c>
      <c r="D59" s="9" t="n">
        <v>61.05</v>
      </c>
      <c r="E59" s="8" t="s">
        <v>77</v>
      </c>
      <c r="F59" s="8" t="s">
        <v>78</v>
      </c>
      <c r="G59" s="8" t="n">
        <v>0.7</v>
      </c>
    </row>
    <row r="60" customFormat="false" ht="15" hidden="false" customHeight="false" outlineLevel="0" collapsed="false">
      <c r="A60" s="8" t="n">
        <v>100059</v>
      </c>
      <c r="B60" s="8" t="s">
        <v>64</v>
      </c>
      <c r="C60" s="9" t="n">
        <v>178.23</v>
      </c>
      <c r="D60" s="9" t="n">
        <v>0</v>
      </c>
      <c r="E60" s="8" t="s">
        <v>116</v>
      </c>
      <c r="F60" s="8" t="s">
        <v>120</v>
      </c>
      <c r="G60" s="8" t="n">
        <v>1.6</v>
      </c>
    </row>
    <row r="61" customFormat="false" ht="15" hidden="false" customHeight="false" outlineLevel="0" collapsed="false">
      <c r="A61" s="8" t="n">
        <v>100060</v>
      </c>
      <c r="B61" s="8" t="s">
        <v>65</v>
      </c>
      <c r="C61" s="9" t="n">
        <v>226.61</v>
      </c>
      <c r="D61" s="9" t="n">
        <v>144.69</v>
      </c>
      <c r="E61" s="8" t="s">
        <v>77</v>
      </c>
      <c r="F61" s="8" t="s">
        <v>78</v>
      </c>
      <c r="G61" s="8" t="n">
        <v>1.6</v>
      </c>
    </row>
    <row r="62" customFormat="false" ht="15" hidden="false" customHeight="false" outlineLevel="0" collapsed="false">
      <c r="A62" s="8" t="n">
        <v>100061</v>
      </c>
      <c r="B62" s="8" t="s">
        <v>65</v>
      </c>
      <c r="C62" s="9" t="n">
        <v>59.05</v>
      </c>
      <c r="D62" s="9" t="n">
        <v>43.1</v>
      </c>
      <c r="E62" s="8" t="s">
        <v>77</v>
      </c>
      <c r="F62" s="8" t="s">
        <v>78</v>
      </c>
      <c r="G62" s="8" t="n">
        <v>0.5</v>
      </c>
    </row>
    <row r="63" customFormat="false" ht="15" hidden="false" customHeight="false" outlineLevel="0" collapsed="false">
      <c r="A63" s="8" t="n">
        <v>100062</v>
      </c>
      <c r="B63" s="8" t="s">
        <v>63</v>
      </c>
      <c r="C63" s="9" t="n">
        <v>183.35</v>
      </c>
      <c r="D63" s="9" t="n">
        <v>95.63</v>
      </c>
      <c r="E63" s="8" t="s">
        <v>77</v>
      </c>
      <c r="F63" s="8" t="s">
        <v>78</v>
      </c>
      <c r="G63" s="8" t="n">
        <v>1.6</v>
      </c>
    </row>
    <row r="64" customFormat="false" ht="15" hidden="false" customHeight="false" outlineLevel="0" collapsed="false">
      <c r="A64" s="8" t="n">
        <v>100063</v>
      </c>
      <c r="B64" s="8" t="s">
        <v>64</v>
      </c>
      <c r="C64" s="9" t="n">
        <v>242.73</v>
      </c>
      <c r="D64" s="9" t="n">
        <v>168.89</v>
      </c>
      <c r="E64" s="8" t="s">
        <v>77</v>
      </c>
      <c r="F64" s="8" t="s">
        <v>78</v>
      </c>
      <c r="G64" s="8" t="n">
        <v>1.92</v>
      </c>
    </row>
    <row r="65" customFormat="false" ht="15" hidden="false" customHeight="false" outlineLevel="0" collapsed="false">
      <c r="A65" s="8" t="n">
        <v>100064</v>
      </c>
      <c r="B65" s="8" t="s">
        <v>62</v>
      </c>
      <c r="C65" s="9" t="n">
        <v>97.86</v>
      </c>
      <c r="D65" s="9" t="n">
        <v>73.62</v>
      </c>
      <c r="E65" s="8" t="s">
        <v>77</v>
      </c>
      <c r="F65" s="8" t="s">
        <v>78</v>
      </c>
      <c r="G65" s="8" t="n">
        <v>1.6</v>
      </c>
    </row>
    <row r="66" customFormat="false" ht="15" hidden="false" customHeight="false" outlineLevel="0" collapsed="false">
      <c r="A66" s="8" t="n">
        <v>100065</v>
      </c>
      <c r="B66" s="8" t="s">
        <v>64</v>
      </c>
      <c r="C66" s="9" t="n">
        <v>146.68</v>
      </c>
      <c r="D66" s="9" t="n">
        <v>134.24</v>
      </c>
      <c r="E66" s="8" t="s">
        <v>77</v>
      </c>
      <c r="F66" s="8" t="s">
        <v>78</v>
      </c>
      <c r="G66" s="8" t="n">
        <v>1.3</v>
      </c>
    </row>
    <row r="67" customFormat="false" ht="15" hidden="false" customHeight="false" outlineLevel="0" collapsed="false">
      <c r="A67" s="8" t="n">
        <v>100066</v>
      </c>
      <c r="B67" s="8" t="s">
        <v>64</v>
      </c>
      <c r="C67" s="9" t="n">
        <v>185.76</v>
      </c>
      <c r="D67" s="9" t="n">
        <v>120.77</v>
      </c>
      <c r="E67" s="8" t="s">
        <v>77</v>
      </c>
      <c r="F67" s="8" t="s">
        <v>78</v>
      </c>
      <c r="G67" s="8" t="n">
        <v>1.3</v>
      </c>
    </row>
    <row r="68" customFormat="false" ht="15" hidden="false" customHeight="false" outlineLevel="0" collapsed="false">
      <c r="A68" s="8" t="n">
        <v>100067</v>
      </c>
      <c r="B68" s="8" t="s">
        <v>64</v>
      </c>
      <c r="C68" s="9" t="n">
        <v>184.56</v>
      </c>
      <c r="D68" s="9" t="n">
        <v>146.47</v>
      </c>
      <c r="E68" s="8" t="s">
        <v>77</v>
      </c>
      <c r="F68" s="8" t="s">
        <v>78</v>
      </c>
      <c r="G68" s="8" t="n">
        <v>1.6</v>
      </c>
    </row>
    <row r="69" customFormat="false" ht="15" hidden="false" customHeight="false" outlineLevel="0" collapsed="false">
      <c r="A69" s="8" t="n">
        <v>100068</v>
      </c>
      <c r="B69" s="8" t="s">
        <v>64</v>
      </c>
      <c r="C69" s="9" t="n">
        <v>375.55</v>
      </c>
      <c r="D69" s="9" t="n">
        <v>268.75</v>
      </c>
      <c r="E69" s="8" t="s">
        <v>77</v>
      </c>
      <c r="F69" s="8" t="s">
        <v>78</v>
      </c>
      <c r="G69" s="8" t="n">
        <v>2.8</v>
      </c>
    </row>
    <row r="70" customFormat="false" ht="15" hidden="false" customHeight="false" outlineLevel="0" collapsed="false">
      <c r="A70" s="8" t="n">
        <v>100069</v>
      </c>
      <c r="B70" s="8" t="s">
        <v>64</v>
      </c>
      <c r="C70" s="9" t="n">
        <v>363.46</v>
      </c>
      <c r="D70" s="9" t="n">
        <v>233.56</v>
      </c>
      <c r="E70" s="8" t="s">
        <v>77</v>
      </c>
      <c r="F70" s="8" t="s">
        <v>78</v>
      </c>
      <c r="G70" s="8" t="n">
        <v>2.8</v>
      </c>
    </row>
    <row r="71" customFormat="false" ht="15" hidden="false" customHeight="false" outlineLevel="0" collapsed="false">
      <c r="A71" s="8" t="n">
        <v>100070</v>
      </c>
      <c r="B71" s="8" t="s">
        <v>63</v>
      </c>
      <c r="C71" s="9" t="n">
        <v>16.58</v>
      </c>
      <c r="D71" s="9" t="n">
        <v>0</v>
      </c>
      <c r="E71" s="8" t="s">
        <v>116</v>
      </c>
      <c r="F71" s="8" t="s">
        <v>155</v>
      </c>
      <c r="G71" s="8" t="n">
        <v>0.18</v>
      </c>
    </row>
    <row r="72" customFormat="false" ht="15" hidden="false" customHeight="false" outlineLevel="0" collapsed="false">
      <c r="A72" s="8" t="n">
        <v>100071</v>
      </c>
      <c r="B72" s="8" t="s">
        <v>64</v>
      </c>
      <c r="C72" s="9" t="n">
        <v>175.47</v>
      </c>
      <c r="D72" s="9" t="n">
        <v>127.87</v>
      </c>
      <c r="E72" s="8" t="s">
        <v>77</v>
      </c>
      <c r="F72" s="8" t="s">
        <v>78</v>
      </c>
      <c r="G72" s="8" t="n">
        <v>1.3</v>
      </c>
    </row>
    <row r="73" customFormat="false" ht="15" hidden="false" customHeight="false" outlineLevel="0" collapsed="false">
      <c r="A73" s="8" t="n">
        <v>100072</v>
      </c>
      <c r="B73" s="8" t="s">
        <v>61</v>
      </c>
      <c r="C73" s="9" t="n">
        <v>138.85</v>
      </c>
      <c r="D73" s="9" t="n">
        <v>109.49</v>
      </c>
      <c r="E73" s="8" t="s">
        <v>77</v>
      </c>
      <c r="F73" s="8" t="s">
        <v>78</v>
      </c>
      <c r="G73" s="8" t="n">
        <v>1.6</v>
      </c>
    </row>
    <row r="74" customFormat="false" ht="15" hidden="false" customHeight="false" outlineLevel="0" collapsed="false">
      <c r="A74" s="8" t="n">
        <v>100073</v>
      </c>
      <c r="B74" s="8" t="s">
        <v>64</v>
      </c>
      <c r="C74" s="9" t="n">
        <v>343.87</v>
      </c>
      <c r="D74" s="9" t="n">
        <v>233.42</v>
      </c>
      <c r="E74" s="8" t="s">
        <v>77</v>
      </c>
      <c r="F74" s="8" t="s">
        <v>78</v>
      </c>
      <c r="G74" s="8" t="n">
        <v>2.6</v>
      </c>
    </row>
    <row r="75" customFormat="false" ht="15" hidden="false" customHeight="false" outlineLevel="0" collapsed="false">
      <c r="A75" s="8" t="n">
        <v>100074</v>
      </c>
      <c r="B75" s="8" t="s">
        <v>63</v>
      </c>
      <c r="C75" s="9" t="n">
        <v>193.23</v>
      </c>
      <c r="D75" s="9" t="n">
        <v>0</v>
      </c>
      <c r="E75" s="8" t="s">
        <v>116</v>
      </c>
      <c r="F75" s="8" t="s">
        <v>120</v>
      </c>
      <c r="G75" s="8" t="n">
        <v>1.92</v>
      </c>
    </row>
    <row r="76" customFormat="false" ht="15" hidden="false" customHeight="false" outlineLevel="0" collapsed="false">
      <c r="A76" s="8" t="n">
        <v>100075</v>
      </c>
      <c r="B76" s="8" t="s">
        <v>62</v>
      </c>
      <c r="C76" s="9" t="n">
        <v>118.98</v>
      </c>
      <c r="D76" s="9" t="n">
        <v>84.99</v>
      </c>
      <c r="E76" s="8" t="s">
        <v>77</v>
      </c>
      <c r="F76" s="8" t="s">
        <v>78</v>
      </c>
      <c r="G76" s="8" t="n">
        <v>1.92</v>
      </c>
    </row>
    <row r="77" customFormat="false" ht="15" hidden="false" customHeight="false" outlineLevel="0" collapsed="false">
      <c r="A77" s="8" t="n">
        <v>100076</v>
      </c>
      <c r="B77" s="8" t="s">
        <v>65</v>
      </c>
      <c r="C77" s="9" t="n">
        <v>154.14</v>
      </c>
      <c r="D77" s="9" t="n">
        <v>118.04</v>
      </c>
      <c r="E77" s="8" t="s">
        <v>77</v>
      </c>
      <c r="F77" s="8" t="s">
        <v>78</v>
      </c>
      <c r="G77" s="8" t="n">
        <v>1.3</v>
      </c>
    </row>
    <row r="78" customFormat="false" ht="15" hidden="false" customHeight="false" outlineLevel="0" collapsed="false">
      <c r="A78" s="8" t="n">
        <v>100077</v>
      </c>
      <c r="B78" s="8" t="s">
        <v>64</v>
      </c>
      <c r="C78" s="9" t="n">
        <v>32.33</v>
      </c>
      <c r="D78" s="9" t="n">
        <v>0</v>
      </c>
      <c r="E78" s="8" t="s">
        <v>116</v>
      </c>
      <c r="F78" s="8" t="s">
        <v>155</v>
      </c>
      <c r="G78" s="8" t="n">
        <v>0.3</v>
      </c>
    </row>
    <row r="79" customFormat="false" ht="15" hidden="false" customHeight="false" outlineLevel="0" collapsed="false">
      <c r="A79" s="8" t="n">
        <v>100078</v>
      </c>
      <c r="B79" s="8" t="s">
        <v>62</v>
      </c>
      <c r="C79" s="9" t="n">
        <v>34.86</v>
      </c>
      <c r="D79" s="9" t="n">
        <v>17.77</v>
      </c>
      <c r="E79" s="8" t="s">
        <v>77</v>
      </c>
      <c r="F79" s="8" t="s">
        <v>78</v>
      </c>
      <c r="G79" s="8" t="n">
        <v>0.5</v>
      </c>
    </row>
    <row r="80" customFormat="false" ht="15" hidden="false" customHeight="false" outlineLevel="0" collapsed="false">
      <c r="A80" s="8" t="n">
        <v>100079</v>
      </c>
      <c r="B80" s="8" t="s">
        <v>64</v>
      </c>
      <c r="C80" s="9" t="n">
        <v>78.79</v>
      </c>
      <c r="D80" s="9" t="n">
        <v>44.47</v>
      </c>
      <c r="E80" s="8" t="s">
        <v>77</v>
      </c>
      <c r="F80" s="8" t="s">
        <v>78</v>
      </c>
      <c r="G80" s="8" t="n">
        <v>0.7</v>
      </c>
    </row>
    <row r="81" customFormat="false" ht="15" hidden="false" customHeight="false" outlineLevel="0" collapsed="false">
      <c r="A81" s="8" t="n">
        <v>100080</v>
      </c>
      <c r="B81" s="8" t="s">
        <v>64</v>
      </c>
      <c r="C81" s="9" t="n">
        <v>88.33</v>
      </c>
      <c r="D81" s="9" t="n">
        <v>63.31</v>
      </c>
      <c r="E81" s="8" t="s">
        <v>77</v>
      </c>
      <c r="F81" s="8" t="s">
        <v>78</v>
      </c>
      <c r="G81" s="8" t="n">
        <v>0.7</v>
      </c>
    </row>
    <row r="82" customFormat="false" ht="15" hidden="false" customHeight="false" outlineLevel="0" collapsed="false">
      <c r="A82" s="8" t="n">
        <v>100081</v>
      </c>
      <c r="B82" s="8" t="s">
        <v>62</v>
      </c>
      <c r="C82" s="9" t="n">
        <v>144.87</v>
      </c>
      <c r="D82" s="9" t="n">
        <v>110.9</v>
      </c>
      <c r="E82" s="8" t="s">
        <v>77</v>
      </c>
      <c r="F82" s="8" t="s">
        <v>78</v>
      </c>
      <c r="G82" s="8" t="n">
        <v>2.1</v>
      </c>
    </row>
    <row r="83" customFormat="false" ht="15" hidden="false" customHeight="false" outlineLevel="0" collapsed="false">
      <c r="A83" s="8" t="n">
        <v>100082</v>
      </c>
      <c r="B83" s="8" t="s">
        <v>65</v>
      </c>
      <c r="C83" s="9" t="n">
        <v>172.34</v>
      </c>
      <c r="D83" s="9" t="n">
        <v>147.25</v>
      </c>
      <c r="E83" s="8" t="s">
        <v>77</v>
      </c>
      <c r="F83" s="8" t="s">
        <v>78</v>
      </c>
      <c r="G83" s="8" t="n">
        <v>1.6</v>
      </c>
    </row>
    <row r="84" customFormat="false" ht="15" hidden="false" customHeight="false" outlineLevel="0" collapsed="false">
      <c r="A84" s="8" t="n">
        <v>100083</v>
      </c>
      <c r="B84" s="8" t="s">
        <v>64</v>
      </c>
      <c r="C84" s="9" t="n">
        <v>140.64</v>
      </c>
      <c r="D84" s="9" t="n">
        <v>89.83</v>
      </c>
      <c r="E84" s="8" t="s">
        <v>77</v>
      </c>
      <c r="F84" s="8" t="s">
        <v>78</v>
      </c>
      <c r="G84" s="8" t="n">
        <v>1.3</v>
      </c>
    </row>
    <row r="85" customFormat="false" ht="15" hidden="false" customHeight="false" outlineLevel="0" collapsed="false">
      <c r="A85" s="8" t="n">
        <v>100084</v>
      </c>
      <c r="B85" s="8" t="s">
        <v>65</v>
      </c>
      <c r="C85" s="9" t="n">
        <v>57.41</v>
      </c>
      <c r="D85" s="9" t="n">
        <v>0</v>
      </c>
      <c r="E85" s="8" t="s">
        <v>98</v>
      </c>
      <c r="F85" s="8" t="s">
        <v>78</v>
      </c>
      <c r="G85" s="8" t="n">
        <v>0.5</v>
      </c>
    </row>
    <row r="86" customFormat="false" ht="15" hidden="false" customHeight="false" outlineLevel="0" collapsed="false">
      <c r="A86" s="8" t="n">
        <v>100085</v>
      </c>
      <c r="B86" s="8" t="s">
        <v>64</v>
      </c>
      <c r="C86" s="9" t="n">
        <v>296.24</v>
      </c>
      <c r="D86" s="9" t="n">
        <v>175.52</v>
      </c>
      <c r="E86" s="8" t="s">
        <v>77</v>
      </c>
      <c r="F86" s="8" t="s">
        <v>78</v>
      </c>
      <c r="G86" s="8" t="n">
        <v>2.6</v>
      </c>
    </row>
    <row r="87" customFormat="false" ht="15" hidden="false" customHeight="false" outlineLevel="0" collapsed="false">
      <c r="A87" s="8" t="n">
        <v>100086</v>
      </c>
      <c r="B87" s="8" t="s">
        <v>62</v>
      </c>
      <c r="C87" s="9" t="n">
        <v>17.84</v>
      </c>
      <c r="D87" s="9" t="n">
        <v>11.47</v>
      </c>
      <c r="E87" s="8" t="s">
        <v>77</v>
      </c>
      <c r="F87" s="8" t="s">
        <v>78</v>
      </c>
      <c r="G87" s="8" t="n">
        <v>0.3</v>
      </c>
    </row>
    <row r="88" customFormat="false" ht="15" hidden="false" customHeight="false" outlineLevel="0" collapsed="false">
      <c r="A88" s="8" t="n">
        <v>100087</v>
      </c>
      <c r="B88" s="8" t="s">
        <v>63</v>
      </c>
      <c r="C88" s="9" t="n">
        <v>157.49</v>
      </c>
      <c r="D88" s="9" t="n">
        <v>87.04</v>
      </c>
      <c r="E88" s="8" t="s">
        <v>77</v>
      </c>
      <c r="F88" s="8" t="s">
        <v>78</v>
      </c>
      <c r="G88" s="8" t="n">
        <v>1.6</v>
      </c>
    </row>
    <row r="89" customFormat="false" ht="15" hidden="false" customHeight="false" outlineLevel="0" collapsed="false">
      <c r="A89" s="8" t="n">
        <v>100088</v>
      </c>
      <c r="B89" s="8" t="s">
        <v>65</v>
      </c>
      <c r="C89" s="9" t="n">
        <v>336.68</v>
      </c>
      <c r="D89" s="9" t="n">
        <v>258.44</v>
      </c>
      <c r="E89" s="8" t="s">
        <v>77</v>
      </c>
      <c r="F89" s="8" t="s">
        <v>78</v>
      </c>
      <c r="G89" s="8" t="n">
        <v>2.6</v>
      </c>
    </row>
    <row r="90" customFormat="false" ht="15" hidden="false" customHeight="false" outlineLevel="0" collapsed="false">
      <c r="A90" s="8" t="n">
        <v>100089</v>
      </c>
      <c r="B90" s="8" t="s">
        <v>64</v>
      </c>
      <c r="C90" s="9" t="n">
        <v>36.4</v>
      </c>
      <c r="D90" s="9" t="n">
        <v>27.71</v>
      </c>
      <c r="E90" s="8" t="s">
        <v>77</v>
      </c>
      <c r="F90" s="8" t="s">
        <v>78</v>
      </c>
      <c r="G90" s="8" t="n">
        <v>0.3</v>
      </c>
    </row>
    <row r="91" customFormat="false" ht="15" hidden="false" customHeight="false" outlineLevel="0" collapsed="false">
      <c r="A91" s="8" t="n">
        <v>100090</v>
      </c>
      <c r="B91" s="8" t="s">
        <v>61</v>
      </c>
      <c r="C91" s="9" t="n">
        <v>16.46</v>
      </c>
      <c r="D91" s="9" t="n">
        <v>8.76</v>
      </c>
      <c r="E91" s="8" t="s">
        <v>77</v>
      </c>
      <c r="F91" s="8" t="s">
        <v>78</v>
      </c>
      <c r="G91" s="8" t="n">
        <v>0.18</v>
      </c>
    </row>
    <row r="92" customFormat="false" ht="15" hidden="false" customHeight="false" outlineLevel="0" collapsed="false">
      <c r="A92" s="8" t="n">
        <v>100091</v>
      </c>
      <c r="B92" s="8" t="s">
        <v>62</v>
      </c>
      <c r="C92" s="9" t="n">
        <v>117.7</v>
      </c>
      <c r="D92" s="9" t="n">
        <v>84.6</v>
      </c>
      <c r="E92" s="8" t="s">
        <v>77</v>
      </c>
      <c r="F92" s="8" t="s">
        <v>78</v>
      </c>
      <c r="G92" s="8" t="n">
        <v>1.92</v>
      </c>
    </row>
    <row r="93" customFormat="false" ht="15" hidden="false" customHeight="false" outlineLevel="0" collapsed="false">
      <c r="A93" s="8" t="n">
        <v>100092</v>
      </c>
      <c r="B93" s="8" t="s">
        <v>64</v>
      </c>
      <c r="C93" s="9" t="n">
        <v>34.66</v>
      </c>
      <c r="D93" s="9" t="n">
        <v>27.11</v>
      </c>
      <c r="E93" s="8" t="s">
        <v>77</v>
      </c>
      <c r="F93" s="8" t="s">
        <v>78</v>
      </c>
      <c r="G93" s="8" t="n">
        <v>0.3</v>
      </c>
    </row>
    <row r="94" customFormat="false" ht="15" hidden="false" customHeight="false" outlineLevel="0" collapsed="false">
      <c r="A94" s="8" t="n">
        <v>100093</v>
      </c>
      <c r="B94" s="8" t="s">
        <v>62</v>
      </c>
      <c r="C94" s="9" t="n">
        <v>93.91</v>
      </c>
      <c r="D94" s="9" t="n">
        <v>74.23</v>
      </c>
      <c r="E94" s="8" t="s">
        <v>77</v>
      </c>
      <c r="F94" s="8" t="s">
        <v>78</v>
      </c>
      <c r="G94" s="8" t="n">
        <v>1.6</v>
      </c>
    </row>
    <row r="95" customFormat="false" ht="15" hidden="false" customHeight="false" outlineLevel="0" collapsed="false">
      <c r="A95" s="8" t="n">
        <v>100094</v>
      </c>
      <c r="B95" s="8" t="s">
        <v>64</v>
      </c>
      <c r="C95" s="9" t="n">
        <v>39.43</v>
      </c>
      <c r="D95" s="9" t="n">
        <v>26.66</v>
      </c>
      <c r="E95" s="8" t="s">
        <v>77</v>
      </c>
      <c r="F95" s="8" t="s">
        <v>78</v>
      </c>
      <c r="G95" s="8" t="n">
        <v>0.3</v>
      </c>
    </row>
    <row r="96" customFormat="false" ht="15" hidden="false" customHeight="false" outlineLevel="0" collapsed="false">
      <c r="A96" s="8" t="n">
        <v>100095</v>
      </c>
      <c r="B96" s="8" t="s">
        <v>61</v>
      </c>
      <c r="C96" s="9" t="n">
        <v>175.37</v>
      </c>
      <c r="D96" s="9" t="n">
        <v>113.08</v>
      </c>
      <c r="E96" s="8" t="s">
        <v>77</v>
      </c>
      <c r="F96" s="8" t="s">
        <v>78</v>
      </c>
      <c r="G96" s="8" t="n">
        <v>1.6</v>
      </c>
    </row>
    <row r="97" customFormat="false" ht="15" hidden="false" customHeight="false" outlineLevel="0" collapsed="false">
      <c r="A97" s="8" t="n">
        <v>100096</v>
      </c>
      <c r="B97" s="8" t="s">
        <v>61</v>
      </c>
      <c r="C97" s="9" t="n">
        <v>42.54</v>
      </c>
      <c r="D97" s="9" t="n">
        <v>33.27</v>
      </c>
      <c r="E97" s="8" t="s">
        <v>77</v>
      </c>
      <c r="F97" s="8" t="s">
        <v>78</v>
      </c>
      <c r="G97" s="8" t="n">
        <v>0.5</v>
      </c>
    </row>
    <row r="98" customFormat="false" ht="15" hidden="false" customHeight="false" outlineLevel="0" collapsed="false">
      <c r="A98" s="8" t="n">
        <v>100097</v>
      </c>
      <c r="B98" s="8" t="s">
        <v>63</v>
      </c>
      <c r="C98" s="9" t="n">
        <v>75.84</v>
      </c>
      <c r="D98" s="9" t="n">
        <v>49.85</v>
      </c>
      <c r="E98" s="8" t="s">
        <v>77</v>
      </c>
      <c r="F98" s="8" t="s">
        <v>78</v>
      </c>
      <c r="G98" s="8" t="n">
        <v>0.7</v>
      </c>
    </row>
    <row r="99" customFormat="false" ht="15" hidden="false" customHeight="false" outlineLevel="0" collapsed="false">
      <c r="A99" s="8" t="n">
        <v>100098</v>
      </c>
      <c r="B99" s="8" t="s">
        <v>63</v>
      </c>
      <c r="C99" s="9" t="n">
        <v>50.15</v>
      </c>
      <c r="D99" s="9" t="n">
        <v>36.84</v>
      </c>
      <c r="E99" s="8" t="s">
        <v>77</v>
      </c>
      <c r="F99" s="8" t="s">
        <v>78</v>
      </c>
      <c r="G99" s="8" t="n">
        <v>0.5</v>
      </c>
    </row>
    <row r="100" customFormat="false" ht="15" hidden="false" customHeight="false" outlineLevel="0" collapsed="false">
      <c r="A100" s="8" t="n">
        <v>100099</v>
      </c>
      <c r="B100" s="8" t="s">
        <v>61</v>
      </c>
      <c r="C100" s="9" t="n">
        <v>160.39</v>
      </c>
      <c r="D100" s="9" t="n">
        <v>145.67</v>
      </c>
      <c r="E100" s="8" t="s">
        <v>77</v>
      </c>
      <c r="F100" s="8" t="s">
        <v>78</v>
      </c>
      <c r="G100" s="8" t="n">
        <v>1.92</v>
      </c>
    </row>
    <row r="101" customFormat="false" ht="15" hidden="false" customHeight="false" outlineLevel="0" collapsed="false">
      <c r="A101" s="8" t="n">
        <v>100100</v>
      </c>
      <c r="B101" s="8" t="s">
        <v>65</v>
      </c>
      <c r="C101" s="9" t="n">
        <v>176.22</v>
      </c>
      <c r="D101" s="9" t="n">
        <v>117.59</v>
      </c>
      <c r="E101" s="8" t="s">
        <v>77</v>
      </c>
      <c r="F101" s="8" t="s">
        <v>78</v>
      </c>
      <c r="G101" s="8" t="n">
        <v>1.3</v>
      </c>
    </row>
    <row r="102" customFormat="false" ht="15" hidden="false" customHeight="false" outlineLevel="0" collapsed="false">
      <c r="A102" s="8" t="n">
        <v>100101</v>
      </c>
      <c r="B102" s="8" t="s">
        <v>65</v>
      </c>
      <c r="C102" s="9" t="n">
        <v>22.97</v>
      </c>
      <c r="D102" s="9" t="n">
        <v>15.85</v>
      </c>
      <c r="E102" s="8" t="s">
        <v>77</v>
      </c>
      <c r="F102" s="8" t="s">
        <v>78</v>
      </c>
      <c r="G102" s="8" t="n">
        <v>0.18</v>
      </c>
    </row>
    <row r="103" customFormat="false" ht="15" hidden="false" customHeight="false" outlineLevel="0" collapsed="false">
      <c r="A103" s="8" t="n">
        <v>100102</v>
      </c>
      <c r="B103" s="8" t="s">
        <v>61</v>
      </c>
      <c r="C103" s="9" t="n">
        <v>237.61</v>
      </c>
      <c r="D103" s="9" t="n">
        <v>187.89</v>
      </c>
      <c r="E103" s="8" t="s">
        <v>77</v>
      </c>
      <c r="F103" s="8" t="s">
        <v>78</v>
      </c>
      <c r="G103" s="8" t="n">
        <v>2.8</v>
      </c>
    </row>
    <row r="104" customFormat="false" ht="15" hidden="false" customHeight="false" outlineLevel="0" collapsed="false">
      <c r="A104" s="8" t="n">
        <v>100103</v>
      </c>
      <c r="B104" s="8" t="s">
        <v>61</v>
      </c>
      <c r="C104" s="9" t="n">
        <v>183.22</v>
      </c>
      <c r="D104" s="9" t="n">
        <v>126.58</v>
      </c>
      <c r="E104" s="8" t="s">
        <v>77</v>
      </c>
      <c r="F104" s="8" t="s">
        <v>78</v>
      </c>
      <c r="G104" s="8" t="n">
        <v>2.1</v>
      </c>
    </row>
    <row r="105" customFormat="false" ht="15" hidden="false" customHeight="false" outlineLevel="0" collapsed="false">
      <c r="A105" s="8" t="n">
        <v>100104</v>
      </c>
      <c r="B105" s="8" t="s">
        <v>64</v>
      </c>
      <c r="C105" s="9" t="n">
        <v>145.66</v>
      </c>
      <c r="D105" s="9" t="n">
        <v>97.36</v>
      </c>
      <c r="E105" s="8" t="s">
        <v>77</v>
      </c>
      <c r="F105" s="8" t="s">
        <v>78</v>
      </c>
      <c r="G105" s="8" t="n">
        <v>1.3</v>
      </c>
    </row>
    <row r="106" customFormat="false" ht="15" hidden="false" customHeight="false" outlineLevel="0" collapsed="false">
      <c r="A106" s="8" t="n">
        <v>100105</v>
      </c>
      <c r="B106" s="8" t="s">
        <v>63</v>
      </c>
      <c r="C106" s="9" t="n">
        <v>43.52</v>
      </c>
      <c r="D106" s="9" t="n">
        <v>40.42</v>
      </c>
      <c r="E106" s="8" t="s">
        <v>77</v>
      </c>
      <c r="F106" s="8" t="s">
        <v>78</v>
      </c>
      <c r="G106" s="8" t="n">
        <v>0.5</v>
      </c>
    </row>
    <row r="107" customFormat="false" ht="15" hidden="false" customHeight="false" outlineLevel="0" collapsed="false">
      <c r="A107" s="8" t="n">
        <v>100106</v>
      </c>
      <c r="B107" s="8" t="s">
        <v>62</v>
      </c>
      <c r="C107" s="9" t="n">
        <v>164.95</v>
      </c>
      <c r="D107" s="9" t="n">
        <v>121.49</v>
      </c>
      <c r="E107" s="8" t="s">
        <v>77</v>
      </c>
      <c r="F107" s="8" t="s">
        <v>78</v>
      </c>
      <c r="G107" s="8" t="n">
        <v>2.6</v>
      </c>
    </row>
    <row r="108" customFormat="false" ht="15" hidden="false" customHeight="false" outlineLevel="0" collapsed="false">
      <c r="A108" s="8" t="n">
        <v>100107</v>
      </c>
      <c r="B108" s="8" t="s">
        <v>61</v>
      </c>
      <c r="C108" s="9" t="n">
        <v>251.49</v>
      </c>
      <c r="D108" s="9" t="n">
        <v>180.51</v>
      </c>
      <c r="E108" s="8" t="s">
        <v>77</v>
      </c>
      <c r="F108" s="8" t="s">
        <v>78</v>
      </c>
      <c r="G108" s="8" t="n">
        <v>2.8</v>
      </c>
    </row>
    <row r="109" customFormat="false" ht="15" hidden="false" customHeight="false" outlineLevel="0" collapsed="false">
      <c r="A109" s="8" t="n">
        <v>100108</v>
      </c>
      <c r="B109" s="8" t="s">
        <v>62</v>
      </c>
      <c r="C109" s="9" t="n">
        <v>19.57</v>
      </c>
      <c r="D109" s="9" t="n">
        <v>15.77</v>
      </c>
      <c r="E109" s="8" t="s">
        <v>77</v>
      </c>
      <c r="F109" s="8" t="s">
        <v>78</v>
      </c>
      <c r="G109" s="8" t="n">
        <v>0.3</v>
      </c>
    </row>
    <row r="110" customFormat="false" ht="15" hidden="false" customHeight="false" outlineLevel="0" collapsed="false">
      <c r="A110" s="8" t="n">
        <v>100109</v>
      </c>
      <c r="B110" s="8" t="s">
        <v>63</v>
      </c>
      <c r="C110" s="9" t="n">
        <v>16.94</v>
      </c>
      <c r="D110" s="9" t="n">
        <v>12.61</v>
      </c>
      <c r="E110" s="8" t="s">
        <v>77</v>
      </c>
      <c r="F110" s="8" t="s">
        <v>78</v>
      </c>
      <c r="G110" s="8" t="n">
        <v>0.18</v>
      </c>
    </row>
    <row r="111" customFormat="false" ht="15" hidden="false" customHeight="false" outlineLevel="0" collapsed="false">
      <c r="A111" s="8" t="n">
        <v>100110</v>
      </c>
      <c r="B111" s="8" t="s">
        <v>62</v>
      </c>
      <c r="C111" s="9" t="n">
        <v>19.49</v>
      </c>
      <c r="D111" s="9" t="n">
        <v>14.04</v>
      </c>
      <c r="E111" s="8" t="s">
        <v>77</v>
      </c>
      <c r="F111" s="8" t="s">
        <v>78</v>
      </c>
      <c r="G111" s="8" t="n">
        <v>0.3</v>
      </c>
    </row>
    <row r="112" customFormat="false" ht="15" hidden="false" customHeight="false" outlineLevel="0" collapsed="false">
      <c r="A112" s="8" t="n">
        <v>100111</v>
      </c>
      <c r="B112" s="8" t="s">
        <v>62</v>
      </c>
      <c r="C112" s="9" t="n">
        <v>104.14</v>
      </c>
      <c r="D112" s="9" t="n">
        <v>52.45</v>
      </c>
      <c r="E112" s="8" t="s">
        <v>77</v>
      </c>
      <c r="F112" s="8" t="s">
        <v>78</v>
      </c>
      <c r="G112" s="8" t="n">
        <v>1.6</v>
      </c>
    </row>
    <row r="113" customFormat="false" ht="15" hidden="false" customHeight="false" outlineLevel="0" collapsed="false">
      <c r="A113" s="8" t="n">
        <v>100112</v>
      </c>
      <c r="B113" s="8" t="s">
        <v>64</v>
      </c>
      <c r="C113" s="9" t="n">
        <v>324</v>
      </c>
      <c r="D113" s="9" t="n">
        <v>237.28</v>
      </c>
      <c r="E113" s="8" t="s">
        <v>77</v>
      </c>
      <c r="F113" s="8" t="s">
        <v>78</v>
      </c>
      <c r="G113" s="8" t="n">
        <v>2.8</v>
      </c>
    </row>
    <row r="114" customFormat="false" ht="15" hidden="false" customHeight="false" outlineLevel="0" collapsed="false">
      <c r="A114" s="8" t="n">
        <v>100113</v>
      </c>
      <c r="B114" s="8" t="s">
        <v>61</v>
      </c>
      <c r="C114" s="9" t="n">
        <v>53.03</v>
      </c>
      <c r="D114" s="9" t="n">
        <v>34.76</v>
      </c>
      <c r="E114" s="8" t="s">
        <v>77</v>
      </c>
      <c r="F114" s="8" t="s">
        <v>78</v>
      </c>
      <c r="G114" s="8" t="n">
        <v>0.5</v>
      </c>
    </row>
    <row r="115" customFormat="false" ht="15" hidden="false" customHeight="false" outlineLevel="0" collapsed="false">
      <c r="A115" s="8" t="n">
        <v>100114</v>
      </c>
      <c r="B115" s="8" t="s">
        <v>64</v>
      </c>
      <c r="C115" s="9" t="n">
        <v>299.54</v>
      </c>
      <c r="D115" s="9" t="n">
        <v>234.85</v>
      </c>
      <c r="E115" s="8" t="s">
        <v>77</v>
      </c>
      <c r="F115" s="8" t="s">
        <v>78</v>
      </c>
      <c r="G115" s="8" t="n">
        <v>2.6</v>
      </c>
    </row>
    <row r="116" customFormat="false" ht="15" hidden="false" customHeight="false" outlineLevel="0" collapsed="false">
      <c r="A116" s="8" t="n">
        <v>100115</v>
      </c>
      <c r="B116" s="8" t="s">
        <v>64</v>
      </c>
      <c r="C116" s="9" t="n">
        <v>51.31</v>
      </c>
      <c r="D116" s="9" t="n">
        <v>45.11</v>
      </c>
      <c r="E116" s="8" t="s">
        <v>77</v>
      </c>
      <c r="F116" s="8" t="s">
        <v>78</v>
      </c>
      <c r="G116" s="8" t="n">
        <v>0.5</v>
      </c>
    </row>
    <row r="117" customFormat="false" ht="15" hidden="false" customHeight="false" outlineLevel="0" collapsed="false">
      <c r="A117" s="8" t="n">
        <v>100116</v>
      </c>
      <c r="B117" s="8" t="s">
        <v>64</v>
      </c>
      <c r="C117" s="9" t="n">
        <v>246.21</v>
      </c>
      <c r="D117" s="9" t="n">
        <v>161.7</v>
      </c>
      <c r="E117" s="8" t="s">
        <v>77</v>
      </c>
      <c r="F117" s="8" t="s">
        <v>78</v>
      </c>
      <c r="G117" s="8" t="n">
        <v>1.92</v>
      </c>
    </row>
    <row r="118" customFormat="false" ht="15" hidden="false" customHeight="false" outlineLevel="0" collapsed="false">
      <c r="A118" s="8" t="n">
        <v>100117</v>
      </c>
      <c r="B118" s="8" t="s">
        <v>61</v>
      </c>
      <c r="C118" s="9" t="n">
        <v>218.7</v>
      </c>
      <c r="D118" s="9" t="n">
        <v>141.92</v>
      </c>
      <c r="E118" s="8" t="s">
        <v>77</v>
      </c>
      <c r="F118" s="8" t="s">
        <v>78</v>
      </c>
      <c r="G118" s="8" t="n">
        <v>2.1</v>
      </c>
    </row>
    <row r="119" customFormat="false" ht="15" hidden="false" customHeight="false" outlineLevel="0" collapsed="false">
      <c r="A119" s="8" t="n">
        <v>100118</v>
      </c>
      <c r="B119" s="8" t="s">
        <v>62</v>
      </c>
      <c r="C119" s="9" t="n">
        <v>143.45</v>
      </c>
      <c r="D119" s="9" t="n">
        <v>119.12</v>
      </c>
      <c r="E119" s="8" t="s">
        <v>77</v>
      </c>
      <c r="F119" s="8" t="s">
        <v>78</v>
      </c>
      <c r="G119" s="8" t="n">
        <v>2.8</v>
      </c>
    </row>
    <row r="120" customFormat="false" ht="15" hidden="false" customHeight="false" outlineLevel="0" collapsed="false">
      <c r="A120" s="8" t="n">
        <v>100119</v>
      </c>
      <c r="B120" s="8" t="s">
        <v>64</v>
      </c>
      <c r="C120" s="9" t="n">
        <v>312.07</v>
      </c>
      <c r="D120" s="9" t="n">
        <v>257.55</v>
      </c>
      <c r="E120" s="8" t="s">
        <v>77</v>
      </c>
      <c r="F120" s="8" t="s">
        <v>78</v>
      </c>
      <c r="G120" s="8" t="n">
        <v>2.6</v>
      </c>
    </row>
    <row r="121" customFormat="false" ht="15" hidden="false" customHeight="false" outlineLevel="0" collapsed="false">
      <c r="A121" s="8" t="n">
        <v>100120</v>
      </c>
      <c r="B121" s="8" t="s">
        <v>61</v>
      </c>
      <c r="C121" s="9" t="n">
        <v>33.08</v>
      </c>
      <c r="D121" s="9" t="n">
        <v>0</v>
      </c>
      <c r="E121" s="8" t="s">
        <v>98</v>
      </c>
      <c r="F121" s="8" t="s">
        <v>78</v>
      </c>
      <c r="G121" s="8" t="n">
        <v>0.3</v>
      </c>
    </row>
    <row r="122" customFormat="false" ht="15" hidden="false" customHeight="false" outlineLevel="0" collapsed="false">
      <c r="A122" s="8" t="n">
        <v>100121</v>
      </c>
      <c r="B122" s="8" t="s">
        <v>63</v>
      </c>
      <c r="C122" s="9" t="n">
        <v>33.67</v>
      </c>
      <c r="D122" s="9" t="n">
        <v>21.98</v>
      </c>
      <c r="E122" s="8" t="s">
        <v>77</v>
      </c>
      <c r="F122" s="8" t="s">
        <v>78</v>
      </c>
      <c r="G122" s="8" t="n">
        <v>0.3</v>
      </c>
    </row>
    <row r="123" customFormat="false" ht="15" hidden="false" customHeight="false" outlineLevel="0" collapsed="false">
      <c r="A123" s="8" t="n">
        <v>100122</v>
      </c>
      <c r="B123" s="8" t="s">
        <v>65</v>
      </c>
      <c r="C123" s="9" t="n">
        <v>263.42</v>
      </c>
      <c r="D123" s="9" t="n">
        <v>0</v>
      </c>
      <c r="E123" s="8" t="s">
        <v>98</v>
      </c>
      <c r="F123" s="8" t="s">
        <v>78</v>
      </c>
      <c r="G123" s="8" t="n">
        <v>2.1</v>
      </c>
    </row>
    <row r="124" customFormat="false" ht="15" hidden="false" customHeight="false" outlineLevel="0" collapsed="false">
      <c r="A124" s="8" t="n">
        <v>100123</v>
      </c>
      <c r="B124" s="8" t="s">
        <v>64</v>
      </c>
      <c r="C124" s="9" t="n">
        <v>265.34</v>
      </c>
      <c r="D124" s="9" t="n">
        <v>205.79</v>
      </c>
      <c r="E124" s="8" t="s">
        <v>77</v>
      </c>
      <c r="F124" s="8" t="s">
        <v>78</v>
      </c>
      <c r="G124" s="8" t="n">
        <v>2.6</v>
      </c>
    </row>
    <row r="125" customFormat="false" ht="15" hidden="false" customHeight="false" outlineLevel="0" collapsed="false">
      <c r="A125" s="8" t="n">
        <v>100124</v>
      </c>
      <c r="B125" s="8" t="s">
        <v>62</v>
      </c>
      <c r="C125" s="9" t="n">
        <v>48.35</v>
      </c>
      <c r="D125" s="9" t="n">
        <v>31.52</v>
      </c>
      <c r="E125" s="8" t="s">
        <v>77</v>
      </c>
      <c r="F125" s="8" t="s">
        <v>78</v>
      </c>
      <c r="G125" s="8" t="n">
        <v>0.7</v>
      </c>
    </row>
    <row r="126" customFormat="false" ht="15" hidden="false" customHeight="false" outlineLevel="0" collapsed="false">
      <c r="A126" s="8" t="n">
        <v>100125</v>
      </c>
      <c r="B126" s="8" t="s">
        <v>61</v>
      </c>
      <c r="C126" s="9" t="n">
        <v>267.87</v>
      </c>
      <c r="D126" s="9" t="n">
        <v>174.06</v>
      </c>
      <c r="E126" s="8" t="s">
        <v>77</v>
      </c>
      <c r="F126" s="8" t="s">
        <v>78</v>
      </c>
      <c r="G126" s="8" t="n">
        <v>2.6</v>
      </c>
    </row>
    <row r="127" customFormat="false" ht="15" hidden="false" customHeight="false" outlineLevel="0" collapsed="false">
      <c r="A127" s="8" t="n">
        <v>100126</v>
      </c>
      <c r="B127" s="8" t="s">
        <v>64</v>
      </c>
      <c r="C127" s="9" t="n">
        <v>292.72</v>
      </c>
      <c r="D127" s="9" t="n">
        <v>260.75</v>
      </c>
      <c r="E127" s="8" t="s">
        <v>77</v>
      </c>
      <c r="F127" s="8" t="s">
        <v>78</v>
      </c>
      <c r="G127" s="8" t="n">
        <v>2.8</v>
      </c>
    </row>
    <row r="128" customFormat="false" ht="15" hidden="false" customHeight="false" outlineLevel="0" collapsed="false">
      <c r="A128" s="8" t="n">
        <v>100127</v>
      </c>
      <c r="B128" s="8" t="s">
        <v>62</v>
      </c>
      <c r="C128" s="9" t="n">
        <v>184.24</v>
      </c>
      <c r="D128" s="9" t="n">
        <v>0</v>
      </c>
      <c r="E128" s="8" t="s">
        <v>116</v>
      </c>
      <c r="F128" s="8" t="s">
        <v>138</v>
      </c>
      <c r="G128" s="8" t="n">
        <v>2.6</v>
      </c>
    </row>
    <row r="129" customFormat="false" ht="15" hidden="false" customHeight="false" outlineLevel="0" collapsed="false">
      <c r="A129" s="8" t="n">
        <v>100128</v>
      </c>
      <c r="B129" s="8" t="s">
        <v>64</v>
      </c>
      <c r="C129" s="9" t="n">
        <v>200.2</v>
      </c>
      <c r="D129" s="9" t="n">
        <v>0</v>
      </c>
      <c r="E129" s="8" t="s">
        <v>116</v>
      </c>
      <c r="F129" s="8" t="s">
        <v>155</v>
      </c>
      <c r="G129" s="8" t="n">
        <v>1.92</v>
      </c>
    </row>
    <row r="130" customFormat="false" ht="15" hidden="false" customHeight="false" outlineLevel="0" collapsed="false">
      <c r="A130" s="8" t="n">
        <v>100129</v>
      </c>
      <c r="B130" s="8" t="s">
        <v>64</v>
      </c>
      <c r="C130" s="9" t="n">
        <v>149.74</v>
      </c>
      <c r="D130" s="9" t="n">
        <v>119.76</v>
      </c>
      <c r="E130" s="8" t="s">
        <v>77</v>
      </c>
      <c r="F130" s="8" t="s">
        <v>78</v>
      </c>
      <c r="G130" s="8" t="n">
        <v>1.3</v>
      </c>
    </row>
    <row r="131" customFormat="false" ht="15" hidden="false" customHeight="false" outlineLevel="0" collapsed="false">
      <c r="A131" s="8" t="n">
        <v>100130</v>
      </c>
      <c r="B131" s="8" t="s">
        <v>63</v>
      </c>
      <c r="C131" s="9" t="n">
        <v>199.15</v>
      </c>
      <c r="D131" s="9" t="n">
        <v>140.64</v>
      </c>
      <c r="E131" s="8" t="s">
        <v>77</v>
      </c>
      <c r="F131" s="8" t="s">
        <v>78</v>
      </c>
      <c r="G131" s="8" t="n">
        <v>1.92</v>
      </c>
    </row>
    <row r="132" customFormat="false" ht="15" hidden="false" customHeight="false" outlineLevel="0" collapsed="false">
      <c r="A132" s="8" t="n">
        <v>100131</v>
      </c>
      <c r="B132" s="8" t="s">
        <v>61</v>
      </c>
      <c r="C132" s="9" t="n">
        <v>32.74</v>
      </c>
      <c r="D132" s="9" t="n">
        <v>20.55</v>
      </c>
      <c r="E132" s="8" t="s">
        <v>77</v>
      </c>
      <c r="F132" s="8" t="s">
        <v>78</v>
      </c>
      <c r="G132" s="8" t="n">
        <v>0.3</v>
      </c>
    </row>
    <row r="133" customFormat="false" ht="15" hidden="false" customHeight="false" outlineLevel="0" collapsed="false">
      <c r="A133" s="8" t="n">
        <v>100132</v>
      </c>
      <c r="B133" s="8" t="s">
        <v>64</v>
      </c>
      <c r="C133" s="9" t="n">
        <v>196.97</v>
      </c>
      <c r="D133" s="9" t="n">
        <v>164.54</v>
      </c>
      <c r="E133" s="8" t="s">
        <v>77</v>
      </c>
      <c r="F133" s="8" t="s">
        <v>78</v>
      </c>
      <c r="G133" s="8" t="n">
        <v>1.92</v>
      </c>
    </row>
    <row r="134" customFormat="false" ht="15" hidden="false" customHeight="false" outlineLevel="0" collapsed="false">
      <c r="A134" s="8" t="n">
        <v>100133</v>
      </c>
      <c r="B134" s="8" t="s">
        <v>64</v>
      </c>
      <c r="C134" s="9" t="n">
        <v>251.65</v>
      </c>
      <c r="D134" s="9" t="n">
        <v>180.17</v>
      </c>
      <c r="E134" s="8" t="s">
        <v>77</v>
      </c>
      <c r="F134" s="8" t="s">
        <v>78</v>
      </c>
      <c r="G134" s="8" t="n">
        <v>1.92</v>
      </c>
    </row>
    <row r="135" customFormat="false" ht="15" hidden="false" customHeight="false" outlineLevel="0" collapsed="false">
      <c r="A135" s="8" t="n">
        <v>100134</v>
      </c>
      <c r="B135" s="8" t="s">
        <v>64</v>
      </c>
      <c r="C135" s="9" t="n">
        <v>42.6</v>
      </c>
      <c r="D135" s="9" t="n">
        <v>27.3</v>
      </c>
      <c r="E135" s="8" t="s">
        <v>77</v>
      </c>
      <c r="F135" s="8" t="s">
        <v>78</v>
      </c>
      <c r="G135" s="8" t="n">
        <v>0.3</v>
      </c>
    </row>
    <row r="136" customFormat="false" ht="15" hidden="false" customHeight="false" outlineLevel="0" collapsed="false">
      <c r="A136" s="8" t="n">
        <v>100135</v>
      </c>
      <c r="B136" s="8" t="s">
        <v>64</v>
      </c>
      <c r="C136" s="9" t="n">
        <v>284.15</v>
      </c>
      <c r="D136" s="9" t="n">
        <v>181.92</v>
      </c>
      <c r="E136" s="8" t="s">
        <v>77</v>
      </c>
      <c r="F136" s="8" t="s">
        <v>78</v>
      </c>
      <c r="G136" s="8" t="n">
        <v>2.6</v>
      </c>
    </row>
    <row r="137" customFormat="false" ht="15" hidden="false" customHeight="false" outlineLevel="0" collapsed="false">
      <c r="A137" s="8" t="n">
        <v>100136</v>
      </c>
      <c r="B137" s="8" t="s">
        <v>61</v>
      </c>
      <c r="C137" s="9" t="n">
        <v>182.64</v>
      </c>
      <c r="D137" s="9" t="n">
        <v>141.25</v>
      </c>
      <c r="E137" s="8" t="s">
        <v>77</v>
      </c>
      <c r="F137" s="8" t="s">
        <v>78</v>
      </c>
      <c r="G137" s="8" t="n">
        <v>2.1</v>
      </c>
    </row>
    <row r="138" customFormat="false" ht="15" hidden="false" customHeight="false" outlineLevel="0" collapsed="false">
      <c r="A138" s="8" t="n">
        <v>100137</v>
      </c>
      <c r="B138" s="8" t="s">
        <v>62</v>
      </c>
      <c r="C138" s="9" t="n">
        <v>143.85</v>
      </c>
      <c r="D138" s="9" t="n">
        <v>94.72</v>
      </c>
      <c r="E138" s="8" t="s">
        <v>77</v>
      </c>
      <c r="F138" s="8" t="s">
        <v>78</v>
      </c>
      <c r="G138" s="8" t="n">
        <v>2.1</v>
      </c>
    </row>
    <row r="139" customFormat="false" ht="15" hidden="false" customHeight="false" outlineLevel="0" collapsed="false">
      <c r="A139" s="8" t="n">
        <v>100138</v>
      </c>
      <c r="B139" s="8" t="s">
        <v>65</v>
      </c>
      <c r="C139" s="9" t="n">
        <v>347.15</v>
      </c>
      <c r="D139" s="9" t="n">
        <v>246.05</v>
      </c>
      <c r="E139" s="8" t="s">
        <v>77</v>
      </c>
      <c r="F139" s="8" t="s">
        <v>78</v>
      </c>
      <c r="G139" s="8" t="n">
        <v>2.6</v>
      </c>
    </row>
    <row r="140" customFormat="false" ht="15" hidden="false" customHeight="false" outlineLevel="0" collapsed="false">
      <c r="A140" s="8" t="n">
        <v>100139</v>
      </c>
      <c r="B140" s="8" t="s">
        <v>65</v>
      </c>
      <c r="C140" s="9" t="n">
        <v>216.38</v>
      </c>
      <c r="D140" s="9" t="n">
        <v>186.11</v>
      </c>
      <c r="E140" s="8" t="s">
        <v>77</v>
      </c>
      <c r="F140" s="8" t="s">
        <v>78</v>
      </c>
      <c r="G140" s="8" t="n">
        <v>2.1</v>
      </c>
    </row>
    <row r="141" customFormat="false" ht="15" hidden="false" customHeight="false" outlineLevel="0" collapsed="false">
      <c r="A141" s="8" t="n">
        <v>100140</v>
      </c>
      <c r="B141" s="8" t="s">
        <v>64</v>
      </c>
      <c r="C141" s="9" t="n">
        <v>40.5</v>
      </c>
      <c r="D141" s="9" t="n">
        <v>27.01</v>
      </c>
      <c r="E141" s="8" t="s">
        <v>77</v>
      </c>
      <c r="F141" s="8" t="s">
        <v>78</v>
      </c>
      <c r="G141" s="8" t="n">
        <v>0.3</v>
      </c>
    </row>
    <row r="142" customFormat="false" ht="15" hidden="false" customHeight="false" outlineLevel="0" collapsed="false">
      <c r="A142" s="8" t="n">
        <v>100141</v>
      </c>
      <c r="B142" s="8" t="s">
        <v>64</v>
      </c>
      <c r="C142" s="9" t="n">
        <v>138.93</v>
      </c>
      <c r="D142" s="9" t="n">
        <v>119.32</v>
      </c>
      <c r="E142" s="8" t="s">
        <v>77</v>
      </c>
      <c r="F142" s="8" t="s">
        <v>78</v>
      </c>
      <c r="G142" s="8" t="n">
        <v>1.3</v>
      </c>
    </row>
    <row r="143" customFormat="false" ht="15" hidden="false" customHeight="false" outlineLevel="0" collapsed="false">
      <c r="A143" s="8" t="n">
        <v>100142</v>
      </c>
      <c r="B143" s="8" t="s">
        <v>61</v>
      </c>
      <c r="C143" s="9" t="n">
        <v>165.75</v>
      </c>
      <c r="D143" s="9" t="n">
        <v>128.95</v>
      </c>
      <c r="E143" s="8" t="s">
        <v>77</v>
      </c>
      <c r="F143" s="8" t="s">
        <v>78</v>
      </c>
      <c r="G143" s="8" t="n">
        <v>1.92</v>
      </c>
    </row>
    <row r="144" customFormat="false" ht="15" hidden="false" customHeight="false" outlineLevel="0" collapsed="false">
      <c r="A144" s="8" t="n">
        <v>100143</v>
      </c>
      <c r="B144" s="8" t="s">
        <v>65</v>
      </c>
      <c r="C144" s="9" t="n">
        <v>56.44</v>
      </c>
      <c r="D144" s="9" t="n">
        <v>44.77</v>
      </c>
      <c r="E144" s="8" t="s">
        <v>77</v>
      </c>
      <c r="F144" s="8" t="s">
        <v>78</v>
      </c>
      <c r="G144" s="8" t="n">
        <v>0.5</v>
      </c>
    </row>
    <row r="145" customFormat="false" ht="15" hidden="false" customHeight="false" outlineLevel="0" collapsed="false">
      <c r="A145" s="8" t="n">
        <v>100144</v>
      </c>
      <c r="B145" s="8" t="s">
        <v>64</v>
      </c>
      <c r="C145" s="9" t="n">
        <v>41.84</v>
      </c>
      <c r="D145" s="9" t="n">
        <v>21.05</v>
      </c>
      <c r="E145" s="8" t="s">
        <v>77</v>
      </c>
      <c r="F145" s="8" t="s">
        <v>78</v>
      </c>
      <c r="G145" s="8" t="n">
        <v>0.3</v>
      </c>
    </row>
    <row r="146" customFormat="false" ht="15" hidden="false" customHeight="false" outlineLevel="0" collapsed="false">
      <c r="A146" s="8" t="n">
        <v>100145</v>
      </c>
      <c r="B146" s="8" t="s">
        <v>64</v>
      </c>
      <c r="C146" s="9" t="n">
        <v>271.02</v>
      </c>
      <c r="D146" s="9" t="n">
        <v>191.75</v>
      </c>
      <c r="E146" s="8" t="s">
        <v>77</v>
      </c>
      <c r="F146" s="8" t="s">
        <v>78</v>
      </c>
      <c r="G146" s="8" t="n">
        <v>2.1</v>
      </c>
    </row>
    <row r="147" customFormat="false" ht="15" hidden="false" customHeight="false" outlineLevel="0" collapsed="false">
      <c r="A147" s="8" t="n">
        <v>100146</v>
      </c>
      <c r="B147" s="8" t="s">
        <v>61</v>
      </c>
      <c r="C147" s="9" t="n">
        <v>172.08</v>
      </c>
      <c r="D147" s="9" t="n">
        <v>125.16</v>
      </c>
      <c r="E147" s="8" t="s">
        <v>77</v>
      </c>
      <c r="F147" s="8" t="s">
        <v>78</v>
      </c>
      <c r="G147" s="8" t="n">
        <v>1.92</v>
      </c>
    </row>
    <row r="148" customFormat="false" ht="15" hidden="false" customHeight="false" outlineLevel="0" collapsed="false">
      <c r="A148" s="8" t="n">
        <v>100147</v>
      </c>
      <c r="B148" s="8" t="s">
        <v>61</v>
      </c>
      <c r="C148" s="9" t="n">
        <v>15.71</v>
      </c>
      <c r="D148" s="9" t="n">
        <v>10.48</v>
      </c>
      <c r="E148" s="8" t="s">
        <v>77</v>
      </c>
      <c r="F148" s="8" t="s">
        <v>78</v>
      </c>
      <c r="G148" s="8" t="n">
        <v>0.18</v>
      </c>
    </row>
    <row r="149" customFormat="false" ht="15" hidden="false" customHeight="false" outlineLevel="0" collapsed="false">
      <c r="A149" s="8" t="n">
        <v>100148</v>
      </c>
      <c r="B149" s="8" t="s">
        <v>65</v>
      </c>
      <c r="C149" s="9" t="n">
        <v>300.9</v>
      </c>
      <c r="D149" s="9" t="n">
        <v>232.16</v>
      </c>
      <c r="E149" s="8" t="s">
        <v>77</v>
      </c>
      <c r="F149" s="8" t="s">
        <v>78</v>
      </c>
      <c r="G149" s="8" t="n">
        <v>2.6</v>
      </c>
    </row>
    <row r="150" customFormat="false" ht="15" hidden="false" customHeight="false" outlineLevel="0" collapsed="false">
      <c r="A150" s="8" t="n">
        <v>100149</v>
      </c>
      <c r="B150" s="8" t="s">
        <v>63</v>
      </c>
      <c r="C150" s="9" t="n">
        <v>47.35</v>
      </c>
      <c r="D150" s="9" t="n">
        <v>36.66</v>
      </c>
      <c r="E150" s="8" t="s">
        <v>77</v>
      </c>
      <c r="F150" s="8" t="s">
        <v>78</v>
      </c>
      <c r="G150" s="8" t="n">
        <v>0.5</v>
      </c>
    </row>
    <row r="151" customFormat="false" ht="15" hidden="false" customHeight="false" outlineLevel="0" collapsed="false">
      <c r="A151" s="8" t="n">
        <v>100150</v>
      </c>
      <c r="B151" s="8" t="s">
        <v>61</v>
      </c>
      <c r="C151" s="9" t="n">
        <v>232.95</v>
      </c>
      <c r="D151" s="9" t="n">
        <v>201.79</v>
      </c>
      <c r="E151" s="8" t="s">
        <v>77</v>
      </c>
      <c r="F151" s="8" t="s">
        <v>78</v>
      </c>
      <c r="G151" s="8" t="n">
        <v>2.8</v>
      </c>
    </row>
    <row r="152" customFormat="false" ht="15" hidden="false" customHeight="false" outlineLevel="0" collapsed="false">
      <c r="A152" s="8" t="n">
        <v>100151</v>
      </c>
      <c r="B152" s="8" t="s">
        <v>65</v>
      </c>
      <c r="C152" s="9" t="n">
        <v>18.9</v>
      </c>
      <c r="D152" s="9" t="n">
        <v>17.02</v>
      </c>
      <c r="E152" s="8" t="s">
        <v>77</v>
      </c>
      <c r="F152" s="8" t="s">
        <v>78</v>
      </c>
      <c r="G152" s="8" t="n">
        <v>0.18</v>
      </c>
    </row>
    <row r="153" customFormat="false" ht="15" hidden="false" customHeight="false" outlineLevel="0" collapsed="false">
      <c r="A153" s="8" t="n">
        <v>100152</v>
      </c>
      <c r="B153" s="8" t="s">
        <v>64</v>
      </c>
      <c r="C153" s="9" t="n">
        <v>35.19</v>
      </c>
      <c r="D153" s="9" t="n">
        <v>23.09</v>
      </c>
      <c r="E153" s="8" t="s">
        <v>77</v>
      </c>
      <c r="F153" s="8" t="s">
        <v>78</v>
      </c>
      <c r="G153" s="8" t="n">
        <v>0.3</v>
      </c>
    </row>
    <row r="154" customFormat="false" ht="15" hidden="false" customHeight="false" outlineLevel="0" collapsed="false">
      <c r="A154" s="8" t="n">
        <v>100153</v>
      </c>
      <c r="B154" s="8" t="s">
        <v>62</v>
      </c>
      <c r="C154" s="9" t="n">
        <v>180.23</v>
      </c>
      <c r="D154" s="9" t="n">
        <v>120.59</v>
      </c>
      <c r="E154" s="8" t="s">
        <v>77</v>
      </c>
      <c r="F154" s="8" t="s">
        <v>78</v>
      </c>
      <c r="G154" s="8" t="n">
        <v>2.8</v>
      </c>
    </row>
    <row r="155" customFormat="false" ht="15" hidden="false" customHeight="false" outlineLevel="0" collapsed="false">
      <c r="A155" s="8" t="n">
        <v>100154</v>
      </c>
      <c r="B155" s="8" t="s">
        <v>65</v>
      </c>
      <c r="C155" s="9" t="n">
        <v>36.08</v>
      </c>
      <c r="D155" s="9" t="n">
        <v>26.75</v>
      </c>
      <c r="E155" s="8" t="s">
        <v>77</v>
      </c>
      <c r="F155" s="8" t="s">
        <v>78</v>
      </c>
      <c r="G155" s="8" t="n">
        <v>0.3</v>
      </c>
    </row>
    <row r="156" customFormat="false" ht="15" hidden="false" customHeight="false" outlineLevel="0" collapsed="false">
      <c r="A156" s="8" t="n">
        <v>100155</v>
      </c>
      <c r="B156" s="8" t="s">
        <v>65</v>
      </c>
      <c r="C156" s="9" t="n">
        <v>37.45</v>
      </c>
      <c r="D156" s="9" t="n">
        <v>27.78</v>
      </c>
      <c r="E156" s="8" t="s">
        <v>77</v>
      </c>
      <c r="F156" s="8" t="s">
        <v>78</v>
      </c>
      <c r="G156" s="8" t="n">
        <v>0.3</v>
      </c>
    </row>
    <row r="157" customFormat="false" ht="15" hidden="false" customHeight="false" outlineLevel="0" collapsed="false">
      <c r="A157" s="8" t="n">
        <v>100156</v>
      </c>
      <c r="B157" s="8" t="s">
        <v>62</v>
      </c>
      <c r="C157" s="9" t="n">
        <v>185.9</v>
      </c>
      <c r="D157" s="9" t="n">
        <v>89.43</v>
      </c>
      <c r="E157" s="8" t="s">
        <v>77</v>
      </c>
      <c r="F157" s="8" t="s">
        <v>78</v>
      </c>
      <c r="G157" s="8" t="n">
        <v>2.6</v>
      </c>
    </row>
    <row r="158" customFormat="false" ht="15" hidden="false" customHeight="false" outlineLevel="0" collapsed="false">
      <c r="A158" s="8" t="n">
        <v>100157</v>
      </c>
      <c r="B158" s="8" t="s">
        <v>64</v>
      </c>
      <c r="C158" s="9" t="n">
        <v>19.67</v>
      </c>
      <c r="D158" s="9" t="n">
        <v>12.8</v>
      </c>
      <c r="E158" s="8" t="s">
        <v>77</v>
      </c>
      <c r="F158" s="8" t="s">
        <v>78</v>
      </c>
      <c r="G158" s="8" t="n">
        <v>0.18</v>
      </c>
    </row>
    <row r="159" customFormat="false" ht="15" hidden="false" customHeight="false" outlineLevel="0" collapsed="false">
      <c r="A159" s="8" t="n">
        <v>100158</v>
      </c>
      <c r="B159" s="8" t="s">
        <v>64</v>
      </c>
      <c r="C159" s="9" t="n">
        <v>158.86</v>
      </c>
      <c r="D159" s="9" t="n">
        <v>116.68</v>
      </c>
      <c r="E159" s="8" t="s">
        <v>77</v>
      </c>
      <c r="F159" s="8" t="s">
        <v>78</v>
      </c>
      <c r="G159" s="8" t="n">
        <v>1.3</v>
      </c>
    </row>
    <row r="160" customFormat="false" ht="15" hidden="false" customHeight="false" outlineLevel="0" collapsed="false">
      <c r="A160" s="8" t="n">
        <v>100159</v>
      </c>
      <c r="B160" s="8" t="s">
        <v>64</v>
      </c>
      <c r="C160" s="9" t="n">
        <v>276.42</v>
      </c>
      <c r="D160" s="9" t="n">
        <v>234.16</v>
      </c>
      <c r="E160" s="8" t="s">
        <v>77</v>
      </c>
      <c r="F160" s="8" t="s">
        <v>78</v>
      </c>
      <c r="G160" s="8" t="n">
        <v>2.6</v>
      </c>
    </row>
    <row r="161" customFormat="false" ht="15" hidden="false" customHeight="false" outlineLevel="0" collapsed="false">
      <c r="A161" s="8" t="n">
        <v>100160</v>
      </c>
      <c r="B161" s="8" t="s">
        <v>61</v>
      </c>
      <c r="C161" s="9" t="n">
        <v>18.36</v>
      </c>
      <c r="D161" s="9" t="n">
        <v>12.02</v>
      </c>
      <c r="E161" s="8" t="s">
        <v>77</v>
      </c>
      <c r="F161" s="8" t="s">
        <v>78</v>
      </c>
      <c r="G161" s="8" t="n">
        <v>0.18</v>
      </c>
    </row>
    <row r="162" customFormat="false" ht="15" hidden="false" customHeight="false" outlineLevel="0" collapsed="false">
      <c r="A162" s="8" t="n">
        <v>100161</v>
      </c>
      <c r="B162" s="8" t="s">
        <v>63</v>
      </c>
      <c r="C162" s="9" t="n">
        <v>155.99</v>
      </c>
      <c r="D162" s="9" t="n">
        <v>117.22</v>
      </c>
      <c r="E162" s="8" t="s">
        <v>77</v>
      </c>
      <c r="F162" s="8" t="s">
        <v>78</v>
      </c>
      <c r="G162" s="8" t="n">
        <v>1.6</v>
      </c>
    </row>
    <row r="163" customFormat="false" ht="15" hidden="false" customHeight="false" outlineLevel="0" collapsed="false">
      <c r="A163" s="8" t="n">
        <v>100162</v>
      </c>
      <c r="B163" s="8" t="s">
        <v>63</v>
      </c>
      <c r="C163" s="9" t="n">
        <v>228.98</v>
      </c>
      <c r="D163" s="9" t="n">
        <v>115.82</v>
      </c>
      <c r="E163" s="8" t="s">
        <v>77</v>
      </c>
      <c r="F163" s="8" t="s">
        <v>78</v>
      </c>
      <c r="G163" s="8" t="n">
        <v>2.1</v>
      </c>
    </row>
    <row r="164" customFormat="false" ht="15" hidden="false" customHeight="false" outlineLevel="0" collapsed="false">
      <c r="A164" s="8" t="n">
        <v>100163</v>
      </c>
      <c r="B164" s="8" t="s">
        <v>62</v>
      </c>
      <c r="C164" s="9" t="n">
        <v>171.95</v>
      </c>
      <c r="D164" s="9" t="n">
        <v>88.99</v>
      </c>
      <c r="E164" s="8" t="s">
        <v>77</v>
      </c>
      <c r="F164" s="8" t="s">
        <v>78</v>
      </c>
      <c r="G164" s="8" t="n">
        <v>2.8</v>
      </c>
    </row>
    <row r="165" customFormat="false" ht="15" hidden="false" customHeight="false" outlineLevel="0" collapsed="false">
      <c r="A165" s="8" t="n">
        <v>100164</v>
      </c>
      <c r="B165" s="8" t="s">
        <v>65</v>
      </c>
      <c r="C165" s="9" t="n">
        <v>83.82</v>
      </c>
      <c r="D165" s="9" t="n">
        <v>0</v>
      </c>
      <c r="E165" s="8" t="s">
        <v>116</v>
      </c>
      <c r="F165" s="8" t="s">
        <v>120</v>
      </c>
      <c r="G165" s="8" t="n">
        <v>0.7</v>
      </c>
    </row>
    <row r="166" customFormat="false" ht="15" hidden="false" customHeight="false" outlineLevel="0" collapsed="false">
      <c r="A166" s="8" t="n">
        <v>100165</v>
      </c>
      <c r="B166" s="8" t="s">
        <v>62</v>
      </c>
      <c r="C166" s="9" t="n">
        <v>16.53</v>
      </c>
      <c r="D166" s="9" t="n">
        <v>13.81</v>
      </c>
      <c r="E166" s="8" t="s">
        <v>77</v>
      </c>
      <c r="F166" s="8" t="s">
        <v>78</v>
      </c>
      <c r="G166" s="8" t="n">
        <v>0.3</v>
      </c>
    </row>
    <row r="167" customFormat="false" ht="15" hidden="false" customHeight="false" outlineLevel="0" collapsed="false">
      <c r="A167" s="8" t="n">
        <v>100166</v>
      </c>
      <c r="B167" s="8" t="s">
        <v>65</v>
      </c>
      <c r="C167" s="9" t="n">
        <v>212.8</v>
      </c>
      <c r="D167" s="9" t="n">
        <v>168.28</v>
      </c>
      <c r="E167" s="8" t="s">
        <v>77</v>
      </c>
      <c r="F167" s="8" t="s">
        <v>78</v>
      </c>
      <c r="G167" s="8" t="n">
        <v>1.92</v>
      </c>
    </row>
    <row r="168" customFormat="false" ht="15" hidden="false" customHeight="false" outlineLevel="0" collapsed="false">
      <c r="A168" s="8" t="n">
        <v>100167</v>
      </c>
      <c r="B168" s="8" t="s">
        <v>65</v>
      </c>
      <c r="C168" s="9" t="n">
        <v>85.45</v>
      </c>
      <c r="D168" s="9" t="n">
        <v>63.09</v>
      </c>
      <c r="E168" s="8" t="s">
        <v>77</v>
      </c>
      <c r="F168" s="8" t="s">
        <v>78</v>
      </c>
      <c r="G168" s="8" t="n">
        <v>0.7</v>
      </c>
    </row>
    <row r="169" customFormat="false" ht="15" hidden="false" customHeight="false" outlineLevel="0" collapsed="false">
      <c r="A169" s="8" t="n">
        <v>100168</v>
      </c>
      <c r="B169" s="8" t="s">
        <v>65</v>
      </c>
      <c r="C169" s="9" t="n">
        <v>187.73</v>
      </c>
      <c r="D169" s="9" t="n">
        <v>141.19</v>
      </c>
      <c r="E169" s="8" t="s">
        <v>77</v>
      </c>
      <c r="F169" s="8" t="s">
        <v>78</v>
      </c>
      <c r="G169" s="8" t="n">
        <v>1.6</v>
      </c>
    </row>
    <row r="170" customFormat="false" ht="15" hidden="false" customHeight="false" outlineLevel="0" collapsed="false">
      <c r="A170" s="8" t="n">
        <v>100169</v>
      </c>
      <c r="B170" s="8" t="s">
        <v>61</v>
      </c>
      <c r="C170" s="9" t="n">
        <v>48.99</v>
      </c>
      <c r="D170" s="9" t="n">
        <v>30.54</v>
      </c>
      <c r="E170" s="8" t="s">
        <v>77</v>
      </c>
      <c r="F170" s="8" t="s">
        <v>78</v>
      </c>
      <c r="G170" s="8" t="n">
        <v>0.5</v>
      </c>
    </row>
    <row r="171" customFormat="false" ht="15" hidden="false" customHeight="false" outlineLevel="0" collapsed="false">
      <c r="A171" s="8" t="n">
        <v>100170</v>
      </c>
      <c r="B171" s="8" t="s">
        <v>63</v>
      </c>
      <c r="C171" s="9" t="n">
        <v>242.28</v>
      </c>
      <c r="D171" s="9" t="n">
        <v>129.55</v>
      </c>
      <c r="E171" s="8" t="s">
        <v>77</v>
      </c>
      <c r="F171" s="8" t="s">
        <v>78</v>
      </c>
      <c r="G171" s="8" t="n">
        <v>2.1</v>
      </c>
    </row>
    <row r="172" customFormat="false" ht="15" hidden="false" customHeight="false" outlineLevel="0" collapsed="false">
      <c r="A172" s="8" t="n">
        <v>100171</v>
      </c>
      <c r="B172" s="8" t="s">
        <v>61</v>
      </c>
      <c r="C172" s="9" t="n">
        <v>172.92</v>
      </c>
      <c r="D172" s="9" t="n">
        <v>146.95</v>
      </c>
      <c r="E172" s="8" t="s">
        <v>77</v>
      </c>
      <c r="F172" s="8" t="s">
        <v>78</v>
      </c>
      <c r="G172" s="8" t="n">
        <v>2.1</v>
      </c>
    </row>
    <row r="173" customFormat="false" ht="15" hidden="false" customHeight="false" outlineLevel="0" collapsed="false">
      <c r="A173" s="8" t="n">
        <v>100172</v>
      </c>
      <c r="B173" s="8" t="s">
        <v>61</v>
      </c>
      <c r="C173" s="9" t="n">
        <v>69.53</v>
      </c>
      <c r="D173" s="9" t="n">
        <v>48.45</v>
      </c>
      <c r="E173" s="8" t="s">
        <v>77</v>
      </c>
      <c r="F173" s="8" t="s">
        <v>78</v>
      </c>
      <c r="G173" s="8" t="n">
        <v>0.7</v>
      </c>
    </row>
    <row r="174" customFormat="false" ht="15" hidden="false" customHeight="false" outlineLevel="0" collapsed="false">
      <c r="A174" s="8" t="n">
        <v>100173</v>
      </c>
      <c r="B174" s="8" t="s">
        <v>65</v>
      </c>
      <c r="C174" s="9" t="n">
        <v>212.74</v>
      </c>
      <c r="D174" s="9" t="n">
        <v>142.34</v>
      </c>
      <c r="E174" s="8" t="s">
        <v>77</v>
      </c>
      <c r="F174" s="8" t="s">
        <v>78</v>
      </c>
      <c r="G174" s="8" t="n">
        <v>1.92</v>
      </c>
    </row>
    <row r="175" customFormat="false" ht="15" hidden="false" customHeight="false" outlineLevel="0" collapsed="false">
      <c r="A175" s="8" t="n">
        <v>100174</v>
      </c>
      <c r="B175" s="8" t="s">
        <v>64</v>
      </c>
      <c r="C175" s="9" t="n">
        <v>57.76</v>
      </c>
      <c r="D175" s="9" t="n">
        <v>43.25</v>
      </c>
      <c r="E175" s="8" t="s">
        <v>77</v>
      </c>
      <c r="F175" s="8" t="s">
        <v>78</v>
      </c>
      <c r="G175" s="8" t="n">
        <v>0.5</v>
      </c>
    </row>
    <row r="176" customFormat="false" ht="15" hidden="false" customHeight="false" outlineLevel="0" collapsed="false">
      <c r="A176" s="8" t="n">
        <v>100175</v>
      </c>
      <c r="B176" s="8" t="s">
        <v>62</v>
      </c>
      <c r="C176" s="9" t="n">
        <v>147.59</v>
      </c>
      <c r="D176" s="9" t="n">
        <v>96.99</v>
      </c>
      <c r="E176" s="8" t="s">
        <v>77</v>
      </c>
      <c r="F176" s="8" t="s">
        <v>78</v>
      </c>
      <c r="G176" s="8" t="n">
        <v>2.8</v>
      </c>
    </row>
    <row r="177" customFormat="false" ht="15" hidden="false" customHeight="false" outlineLevel="0" collapsed="false">
      <c r="A177" s="8" t="n">
        <v>100176</v>
      </c>
      <c r="B177" s="8" t="s">
        <v>63</v>
      </c>
      <c r="C177" s="9" t="n">
        <v>61.66</v>
      </c>
      <c r="D177" s="9" t="n">
        <v>52.01</v>
      </c>
      <c r="E177" s="8" t="s">
        <v>77</v>
      </c>
      <c r="F177" s="8" t="s">
        <v>78</v>
      </c>
      <c r="G177" s="8" t="n">
        <v>0.7</v>
      </c>
    </row>
    <row r="178" customFormat="false" ht="15" hidden="false" customHeight="false" outlineLevel="0" collapsed="false">
      <c r="A178" s="8" t="n">
        <v>100177</v>
      </c>
      <c r="B178" s="8" t="s">
        <v>61</v>
      </c>
      <c r="C178" s="9" t="n">
        <v>15.77</v>
      </c>
      <c r="D178" s="9" t="n">
        <v>13.7</v>
      </c>
      <c r="E178" s="8" t="s">
        <v>77</v>
      </c>
      <c r="F178" s="8" t="s">
        <v>78</v>
      </c>
      <c r="G178" s="8" t="n">
        <v>0.18</v>
      </c>
    </row>
    <row r="179" customFormat="false" ht="15" hidden="false" customHeight="false" outlineLevel="0" collapsed="false">
      <c r="A179" s="8" t="n">
        <v>100178</v>
      </c>
      <c r="B179" s="8" t="s">
        <v>65</v>
      </c>
      <c r="C179" s="9" t="n">
        <v>186.94</v>
      </c>
      <c r="D179" s="9" t="n">
        <v>147.92</v>
      </c>
      <c r="E179" s="8" t="s">
        <v>77</v>
      </c>
      <c r="F179" s="8" t="s">
        <v>78</v>
      </c>
      <c r="G179" s="8" t="n">
        <v>1.6</v>
      </c>
    </row>
    <row r="180" customFormat="false" ht="15" hidden="false" customHeight="false" outlineLevel="0" collapsed="false">
      <c r="A180" s="8" t="n">
        <v>100179</v>
      </c>
      <c r="B180" s="8" t="s">
        <v>64</v>
      </c>
      <c r="C180" s="9" t="n">
        <v>345.04</v>
      </c>
      <c r="D180" s="9" t="n">
        <v>225.34</v>
      </c>
      <c r="E180" s="8" t="s">
        <v>77</v>
      </c>
      <c r="F180" s="8" t="s">
        <v>78</v>
      </c>
      <c r="G180" s="8" t="n">
        <v>2.6</v>
      </c>
    </row>
    <row r="181" customFormat="false" ht="15" hidden="false" customHeight="false" outlineLevel="0" collapsed="false">
      <c r="A181" s="8" t="n">
        <v>100180</v>
      </c>
      <c r="B181" s="8" t="s">
        <v>63</v>
      </c>
      <c r="C181" s="9" t="n">
        <v>140.98</v>
      </c>
      <c r="D181" s="9" t="n">
        <v>95.66</v>
      </c>
      <c r="E181" s="8" t="s">
        <v>77</v>
      </c>
      <c r="F181" s="8" t="s">
        <v>78</v>
      </c>
      <c r="G181" s="8" t="n">
        <v>1.3</v>
      </c>
    </row>
    <row r="182" customFormat="false" ht="15" hidden="false" customHeight="false" outlineLevel="0" collapsed="false">
      <c r="A182" s="8" t="n">
        <v>100181</v>
      </c>
      <c r="B182" s="8" t="s">
        <v>63</v>
      </c>
      <c r="C182" s="9" t="n">
        <v>204.6</v>
      </c>
      <c r="D182" s="9" t="n">
        <v>146.88</v>
      </c>
      <c r="E182" s="8" t="s">
        <v>77</v>
      </c>
      <c r="F182" s="8" t="s">
        <v>78</v>
      </c>
      <c r="G182" s="8" t="n">
        <v>1.92</v>
      </c>
    </row>
    <row r="183" customFormat="false" ht="15" hidden="false" customHeight="false" outlineLevel="0" collapsed="false">
      <c r="A183" s="8" t="n">
        <v>100182</v>
      </c>
      <c r="B183" s="8" t="s">
        <v>62</v>
      </c>
      <c r="C183" s="9" t="n">
        <v>21.67</v>
      </c>
      <c r="D183" s="9" t="n">
        <v>0</v>
      </c>
      <c r="E183" s="8" t="s">
        <v>116</v>
      </c>
      <c r="F183" s="8" t="s">
        <v>155</v>
      </c>
      <c r="G183" s="8" t="n">
        <v>0.3</v>
      </c>
    </row>
    <row r="184" customFormat="false" ht="15" hidden="false" customHeight="false" outlineLevel="0" collapsed="false">
      <c r="A184" s="8" t="n">
        <v>100183</v>
      </c>
      <c r="B184" s="8" t="s">
        <v>65</v>
      </c>
      <c r="C184" s="9" t="n">
        <v>234.89</v>
      </c>
      <c r="D184" s="9" t="n">
        <v>0</v>
      </c>
      <c r="E184" s="8" t="s">
        <v>98</v>
      </c>
      <c r="F184" s="8" t="s">
        <v>78</v>
      </c>
      <c r="G184" s="8" t="n">
        <v>2.1</v>
      </c>
    </row>
    <row r="185" customFormat="false" ht="15" hidden="false" customHeight="false" outlineLevel="0" collapsed="false">
      <c r="A185" s="8" t="n">
        <v>100184</v>
      </c>
      <c r="B185" s="8" t="s">
        <v>61</v>
      </c>
      <c r="C185" s="9" t="n">
        <v>227.49</v>
      </c>
      <c r="D185" s="9" t="n">
        <v>147.54</v>
      </c>
      <c r="E185" s="8" t="s">
        <v>77</v>
      </c>
      <c r="F185" s="8" t="s">
        <v>78</v>
      </c>
      <c r="G185" s="8" t="n">
        <v>2.1</v>
      </c>
    </row>
    <row r="186" customFormat="false" ht="15" hidden="false" customHeight="false" outlineLevel="0" collapsed="false">
      <c r="A186" s="8" t="n">
        <v>100185</v>
      </c>
      <c r="B186" s="8" t="s">
        <v>63</v>
      </c>
      <c r="C186" s="9" t="n">
        <v>32.19</v>
      </c>
      <c r="D186" s="9" t="n">
        <v>17.37</v>
      </c>
      <c r="E186" s="8" t="s">
        <v>77</v>
      </c>
      <c r="F186" s="8" t="s">
        <v>78</v>
      </c>
      <c r="G186" s="8" t="n">
        <v>0.3</v>
      </c>
    </row>
    <row r="187" customFormat="false" ht="15" hidden="false" customHeight="false" outlineLevel="0" collapsed="false">
      <c r="A187" s="8" t="n">
        <v>100186</v>
      </c>
      <c r="B187" s="8" t="s">
        <v>61</v>
      </c>
      <c r="C187" s="9" t="n">
        <v>221.97</v>
      </c>
      <c r="D187" s="9" t="n">
        <v>203.16</v>
      </c>
      <c r="E187" s="8" t="s">
        <v>77</v>
      </c>
      <c r="F187" s="8" t="s">
        <v>78</v>
      </c>
      <c r="G187" s="8" t="n">
        <v>2.6</v>
      </c>
    </row>
    <row r="188" customFormat="false" ht="15" hidden="false" customHeight="false" outlineLevel="0" collapsed="false">
      <c r="A188" s="8" t="n">
        <v>100187</v>
      </c>
      <c r="B188" s="8" t="s">
        <v>63</v>
      </c>
      <c r="C188" s="9" t="n">
        <v>154.26</v>
      </c>
      <c r="D188" s="9" t="n">
        <v>122.12</v>
      </c>
      <c r="E188" s="8" t="s">
        <v>77</v>
      </c>
      <c r="F188" s="8" t="s">
        <v>78</v>
      </c>
      <c r="G188" s="8" t="n">
        <v>1.6</v>
      </c>
    </row>
    <row r="189" customFormat="false" ht="15" hidden="false" customHeight="false" outlineLevel="0" collapsed="false">
      <c r="A189" s="8" t="n">
        <v>100188</v>
      </c>
      <c r="B189" s="8" t="s">
        <v>61</v>
      </c>
      <c r="C189" s="9" t="n">
        <v>29.79</v>
      </c>
      <c r="D189" s="9" t="n">
        <v>20.67</v>
      </c>
      <c r="E189" s="8" t="s">
        <v>77</v>
      </c>
      <c r="F189" s="8" t="s">
        <v>78</v>
      </c>
      <c r="G189" s="8" t="n">
        <v>0.3</v>
      </c>
    </row>
    <row r="190" customFormat="false" ht="15" hidden="false" customHeight="false" outlineLevel="0" collapsed="false">
      <c r="A190" s="8" t="n">
        <v>100189</v>
      </c>
      <c r="B190" s="8" t="s">
        <v>64</v>
      </c>
      <c r="C190" s="9" t="n">
        <v>168.35</v>
      </c>
      <c r="D190" s="9" t="n">
        <v>119.16</v>
      </c>
      <c r="E190" s="8" t="s">
        <v>77</v>
      </c>
      <c r="F190" s="8" t="s">
        <v>78</v>
      </c>
      <c r="G190" s="8" t="n">
        <v>1.3</v>
      </c>
    </row>
    <row r="191" customFormat="false" ht="15" hidden="false" customHeight="false" outlineLevel="0" collapsed="false">
      <c r="A191" s="8" t="n">
        <v>100190</v>
      </c>
      <c r="B191" s="8" t="s">
        <v>61</v>
      </c>
      <c r="C191" s="9" t="n">
        <v>47.42</v>
      </c>
      <c r="D191" s="9" t="n">
        <v>33.02</v>
      </c>
      <c r="E191" s="8" t="s">
        <v>77</v>
      </c>
      <c r="F191" s="8" t="s">
        <v>78</v>
      </c>
      <c r="G191" s="8" t="n">
        <v>0.5</v>
      </c>
    </row>
    <row r="192" customFormat="false" ht="15" hidden="false" customHeight="false" outlineLevel="0" collapsed="false">
      <c r="A192" s="8" t="n">
        <v>100191</v>
      </c>
      <c r="B192" s="8" t="s">
        <v>64</v>
      </c>
      <c r="C192" s="9" t="n">
        <v>236.39</v>
      </c>
      <c r="D192" s="9" t="n">
        <v>143.8</v>
      </c>
      <c r="E192" s="8" t="s">
        <v>77</v>
      </c>
      <c r="F192" s="8" t="s">
        <v>78</v>
      </c>
      <c r="G192" s="8" t="n">
        <v>2.1</v>
      </c>
    </row>
    <row r="193" customFormat="false" ht="15" hidden="false" customHeight="false" outlineLevel="0" collapsed="false">
      <c r="A193" s="8" t="n">
        <v>100192</v>
      </c>
      <c r="B193" s="8" t="s">
        <v>62</v>
      </c>
      <c r="C193" s="9" t="n">
        <v>79.82</v>
      </c>
      <c r="D193" s="9" t="n">
        <v>62.21</v>
      </c>
      <c r="E193" s="8" t="s">
        <v>77</v>
      </c>
      <c r="F193" s="8" t="s">
        <v>78</v>
      </c>
      <c r="G193" s="8" t="n">
        <v>1.3</v>
      </c>
    </row>
    <row r="194" customFormat="false" ht="15" hidden="false" customHeight="false" outlineLevel="0" collapsed="false">
      <c r="A194" s="8" t="n">
        <v>100193</v>
      </c>
      <c r="B194" s="8" t="s">
        <v>62</v>
      </c>
      <c r="C194" s="9" t="n">
        <v>142.59</v>
      </c>
      <c r="D194" s="9" t="n">
        <v>119.5</v>
      </c>
      <c r="E194" s="8" t="s">
        <v>77</v>
      </c>
      <c r="F194" s="8" t="s">
        <v>78</v>
      </c>
      <c r="G194" s="8" t="n">
        <v>2.8</v>
      </c>
    </row>
    <row r="195" customFormat="false" ht="15" hidden="false" customHeight="false" outlineLevel="0" collapsed="false">
      <c r="A195" s="8" t="n">
        <v>100194</v>
      </c>
      <c r="B195" s="8" t="s">
        <v>61</v>
      </c>
      <c r="C195" s="9" t="n">
        <v>227.65</v>
      </c>
      <c r="D195" s="9" t="n">
        <v>164.06</v>
      </c>
      <c r="E195" s="8" t="s">
        <v>77</v>
      </c>
      <c r="F195" s="8" t="s">
        <v>78</v>
      </c>
      <c r="G195" s="8" t="n">
        <v>2.1</v>
      </c>
    </row>
    <row r="196" customFormat="false" ht="15" hidden="false" customHeight="false" outlineLevel="0" collapsed="false">
      <c r="A196" s="8" t="n">
        <v>100195</v>
      </c>
      <c r="B196" s="8" t="s">
        <v>62</v>
      </c>
      <c r="C196" s="9" t="n">
        <v>154.66</v>
      </c>
      <c r="D196" s="9" t="n">
        <v>129.78</v>
      </c>
      <c r="E196" s="8" t="s">
        <v>77</v>
      </c>
      <c r="F196" s="8" t="s">
        <v>78</v>
      </c>
      <c r="G196" s="8" t="n">
        <v>2.6</v>
      </c>
    </row>
    <row r="197" customFormat="false" ht="15" hidden="false" customHeight="false" outlineLevel="0" collapsed="false">
      <c r="A197" s="8" t="n">
        <v>100196</v>
      </c>
      <c r="B197" s="8" t="s">
        <v>64</v>
      </c>
      <c r="C197" s="9" t="n">
        <v>23.75</v>
      </c>
      <c r="D197" s="9" t="n">
        <v>16.45</v>
      </c>
      <c r="E197" s="8" t="s">
        <v>77</v>
      </c>
      <c r="F197" s="8" t="s">
        <v>78</v>
      </c>
      <c r="G197" s="8" t="n">
        <v>0.18</v>
      </c>
    </row>
    <row r="198" customFormat="false" ht="15" hidden="false" customHeight="false" outlineLevel="0" collapsed="false">
      <c r="A198" s="8" t="n">
        <v>100197</v>
      </c>
      <c r="B198" s="8" t="s">
        <v>63</v>
      </c>
      <c r="C198" s="9" t="n">
        <v>45.72</v>
      </c>
      <c r="D198" s="9" t="n">
        <v>35.85</v>
      </c>
      <c r="E198" s="8" t="s">
        <v>77</v>
      </c>
      <c r="F198" s="8" t="s">
        <v>78</v>
      </c>
      <c r="G198" s="8" t="n">
        <v>0.5</v>
      </c>
    </row>
    <row r="199" customFormat="false" ht="15" hidden="false" customHeight="false" outlineLevel="0" collapsed="false">
      <c r="A199" s="8" t="n">
        <v>100198</v>
      </c>
      <c r="B199" s="8" t="s">
        <v>63</v>
      </c>
      <c r="C199" s="9" t="n">
        <v>162.49</v>
      </c>
      <c r="D199" s="9" t="n">
        <v>137.84</v>
      </c>
      <c r="E199" s="8" t="s">
        <v>77</v>
      </c>
      <c r="F199" s="8" t="s">
        <v>78</v>
      </c>
      <c r="G199" s="8" t="n">
        <v>1.92</v>
      </c>
    </row>
    <row r="200" customFormat="false" ht="15" hidden="false" customHeight="false" outlineLevel="0" collapsed="false">
      <c r="A200" s="8" t="n">
        <v>100199</v>
      </c>
      <c r="B200" s="8" t="s">
        <v>64</v>
      </c>
      <c r="C200" s="9" t="n">
        <v>252.68</v>
      </c>
      <c r="D200" s="9" t="n">
        <v>213.6</v>
      </c>
      <c r="E200" s="8" t="s">
        <v>77</v>
      </c>
      <c r="F200" s="8" t="s">
        <v>78</v>
      </c>
      <c r="G200" s="8" t="n">
        <v>2.1</v>
      </c>
    </row>
    <row r="201" customFormat="false" ht="15" hidden="false" customHeight="false" outlineLevel="0" collapsed="false">
      <c r="A201" s="8" t="n">
        <v>100200</v>
      </c>
      <c r="B201" s="8" t="s">
        <v>61</v>
      </c>
      <c r="C201" s="9" t="n">
        <v>185.86</v>
      </c>
      <c r="D201" s="9" t="n">
        <v>129.92</v>
      </c>
      <c r="E201" s="8" t="s">
        <v>77</v>
      </c>
      <c r="F201" s="8" t="s">
        <v>78</v>
      </c>
      <c r="G201" s="8" t="n">
        <v>1.92</v>
      </c>
    </row>
    <row r="202" customFormat="false" ht="15" hidden="false" customHeight="false" outlineLevel="0" collapsed="false">
      <c r="A202" s="8" t="n">
        <v>100201</v>
      </c>
      <c r="B202" s="8" t="s">
        <v>62</v>
      </c>
      <c r="C202" s="9" t="n">
        <v>46.56</v>
      </c>
      <c r="D202" s="9" t="n">
        <v>31.49</v>
      </c>
      <c r="E202" s="8" t="s">
        <v>77</v>
      </c>
      <c r="F202" s="8" t="s">
        <v>78</v>
      </c>
      <c r="G202" s="8" t="n">
        <v>0.7</v>
      </c>
    </row>
    <row r="203" customFormat="false" ht="15" hidden="false" customHeight="false" outlineLevel="0" collapsed="false">
      <c r="A203" s="8" t="n">
        <v>100202</v>
      </c>
      <c r="B203" s="8" t="s">
        <v>64</v>
      </c>
      <c r="C203" s="9" t="n">
        <v>72.2</v>
      </c>
      <c r="D203" s="9" t="n">
        <v>61.52</v>
      </c>
      <c r="E203" s="8" t="s">
        <v>77</v>
      </c>
      <c r="F203" s="8" t="s">
        <v>78</v>
      </c>
      <c r="G203" s="8" t="n">
        <v>0.7</v>
      </c>
    </row>
    <row r="204" customFormat="false" ht="15" hidden="false" customHeight="false" outlineLevel="0" collapsed="false">
      <c r="A204" s="8" t="n">
        <v>100203</v>
      </c>
      <c r="B204" s="8" t="s">
        <v>65</v>
      </c>
      <c r="C204" s="9" t="n">
        <v>327.63</v>
      </c>
      <c r="D204" s="9" t="n">
        <v>232.45</v>
      </c>
      <c r="E204" s="8" t="s">
        <v>77</v>
      </c>
      <c r="F204" s="8" t="s">
        <v>78</v>
      </c>
      <c r="G204" s="8" t="n">
        <v>2.8</v>
      </c>
    </row>
    <row r="205" customFormat="false" ht="15" hidden="false" customHeight="false" outlineLevel="0" collapsed="false">
      <c r="A205" s="8" t="n">
        <v>100204</v>
      </c>
      <c r="B205" s="8" t="s">
        <v>62</v>
      </c>
      <c r="C205" s="9" t="n">
        <v>19.36</v>
      </c>
      <c r="D205" s="9" t="n">
        <v>14.23</v>
      </c>
      <c r="E205" s="8" t="s">
        <v>77</v>
      </c>
      <c r="F205" s="8" t="s">
        <v>78</v>
      </c>
      <c r="G205" s="8" t="n">
        <v>0.3</v>
      </c>
    </row>
    <row r="206" customFormat="false" ht="15" hidden="false" customHeight="false" outlineLevel="0" collapsed="false">
      <c r="A206" s="8" t="n">
        <v>100205</v>
      </c>
      <c r="B206" s="8" t="s">
        <v>65</v>
      </c>
      <c r="C206" s="9" t="n">
        <v>336.33</v>
      </c>
      <c r="D206" s="9" t="n">
        <v>0</v>
      </c>
      <c r="E206" s="8" t="s">
        <v>98</v>
      </c>
      <c r="F206" s="8" t="s">
        <v>78</v>
      </c>
      <c r="G206" s="8" t="n">
        <v>2.6</v>
      </c>
    </row>
    <row r="207" customFormat="false" ht="15" hidden="false" customHeight="false" outlineLevel="0" collapsed="false">
      <c r="A207" s="8" t="n">
        <v>100206</v>
      </c>
      <c r="B207" s="8" t="s">
        <v>62</v>
      </c>
      <c r="C207" s="9" t="n">
        <v>113.69</v>
      </c>
      <c r="D207" s="9" t="n">
        <v>81.92</v>
      </c>
      <c r="E207" s="8" t="s">
        <v>77</v>
      </c>
      <c r="F207" s="8" t="s">
        <v>78</v>
      </c>
      <c r="G207" s="8" t="n">
        <v>1.92</v>
      </c>
    </row>
    <row r="208" customFormat="false" ht="15" hidden="false" customHeight="false" outlineLevel="0" collapsed="false">
      <c r="A208" s="8" t="n">
        <v>100207</v>
      </c>
      <c r="B208" s="8" t="s">
        <v>61</v>
      </c>
      <c r="C208" s="9" t="n">
        <v>47.4</v>
      </c>
      <c r="D208" s="9" t="n">
        <v>39.33</v>
      </c>
      <c r="E208" s="8" t="s">
        <v>77</v>
      </c>
      <c r="F208" s="8" t="s">
        <v>78</v>
      </c>
      <c r="G208" s="8" t="n">
        <v>0.5</v>
      </c>
    </row>
    <row r="209" customFormat="false" ht="15" hidden="false" customHeight="false" outlineLevel="0" collapsed="false">
      <c r="A209" s="8" t="n">
        <v>100208</v>
      </c>
      <c r="B209" s="8" t="s">
        <v>65</v>
      </c>
      <c r="C209" s="9" t="n">
        <v>174.67</v>
      </c>
      <c r="D209" s="9" t="n">
        <v>147.53</v>
      </c>
      <c r="E209" s="8" t="s">
        <v>77</v>
      </c>
      <c r="F209" s="8" t="s">
        <v>78</v>
      </c>
      <c r="G209" s="8" t="n">
        <v>1.6</v>
      </c>
    </row>
    <row r="210" customFormat="false" ht="15" hidden="false" customHeight="false" outlineLevel="0" collapsed="false">
      <c r="A210" s="8" t="n">
        <v>100209</v>
      </c>
      <c r="B210" s="8" t="s">
        <v>65</v>
      </c>
      <c r="C210" s="9" t="n">
        <v>81.59</v>
      </c>
      <c r="D210" s="9" t="n">
        <v>62.42</v>
      </c>
      <c r="E210" s="8" t="s">
        <v>77</v>
      </c>
      <c r="F210" s="8" t="s">
        <v>78</v>
      </c>
      <c r="G210" s="8" t="n">
        <v>0.7</v>
      </c>
    </row>
    <row r="211" customFormat="false" ht="15" hidden="false" customHeight="false" outlineLevel="0" collapsed="false">
      <c r="A211" s="8" t="n">
        <v>100210</v>
      </c>
      <c r="B211" s="8" t="s">
        <v>63</v>
      </c>
      <c r="C211" s="9" t="n">
        <v>20.8</v>
      </c>
      <c r="D211" s="9" t="n">
        <v>13.21</v>
      </c>
      <c r="E211" s="8" t="s">
        <v>77</v>
      </c>
      <c r="F211" s="8" t="s">
        <v>78</v>
      </c>
      <c r="G211" s="8" t="n">
        <v>0.18</v>
      </c>
    </row>
    <row r="212" customFormat="false" ht="15" hidden="false" customHeight="false" outlineLevel="0" collapsed="false">
      <c r="A212" s="8" t="n">
        <v>100211</v>
      </c>
      <c r="B212" s="8" t="s">
        <v>63</v>
      </c>
      <c r="C212" s="9" t="n">
        <v>185.29</v>
      </c>
      <c r="D212" s="9" t="n">
        <v>140.11</v>
      </c>
      <c r="E212" s="8" t="s">
        <v>77</v>
      </c>
      <c r="F212" s="8" t="s">
        <v>78</v>
      </c>
      <c r="G212" s="8" t="n">
        <v>1.92</v>
      </c>
    </row>
    <row r="213" customFormat="false" ht="15" hidden="false" customHeight="false" outlineLevel="0" collapsed="false">
      <c r="A213" s="8" t="n">
        <v>100212</v>
      </c>
      <c r="B213" s="8" t="s">
        <v>64</v>
      </c>
      <c r="C213" s="9" t="n">
        <v>68.63</v>
      </c>
      <c r="D213" s="9" t="n">
        <v>43.08</v>
      </c>
      <c r="E213" s="8" t="s">
        <v>77</v>
      </c>
      <c r="F213" s="8" t="s">
        <v>78</v>
      </c>
      <c r="G213" s="8" t="n">
        <v>0.5</v>
      </c>
    </row>
    <row r="214" customFormat="false" ht="15" hidden="false" customHeight="false" outlineLevel="0" collapsed="false">
      <c r="A214" s="8" t="n">
        <v>100213</v>
      </c>
      <c r="B214" s="8" t="s">
        <v>63</v>
      </c>
      <c r="C214" s="9" t="n">
        <v>156.69</v>
      </c>
      <c r="D214" s="9" t="n">
        <v>0</v>
      </c>
      <c r="E214" s="8" t="s">
        <v>116</v>
      </c>
      <c r="F214" s="8" t="s">
        <v>138</v>
      </c>
      <c r="G214" s="8" t="n">
        <v>1.6</v>
      </c>
    </row>
    <row r="215" customFormat="false" ht="15" hidden="false" customHeight="false" outlineLevel="0" collapsed="false">
      <c r="A215" s="8" t="n">
        <v>100214</v>
      </c>
      <c r="B215" s="8" t="s">
        <v>62</v>
      </c>
      <c r="C215" s="9" t="n">
        <v>28.02</v>
      </c>
      <c r="D215" s="9" t="n">
        <v>21.46</v>
      </c>
      <c r="E215" s="8" t="s">
        <v>77</v>
      </c>
      <c r="F215" s="8" t="s">
        <v>78</v>
      </c>
      <c r="G215" s="8" t="n">
        <v>0.5</v>
      </c>
    </row>
    <row r="216" customFormat="false" ht="15" hidden="false" customHeight="false" outlineLevel="0" collapsed="false">
      <c r="A216" s="8" t="n">
        <v>100215</v>
      </c>
      <c r="B216" s="8" t="s">
        <v>62</v>
      </c>
      <c r="C216" s="9" t="n">
        <v>47.18</v>
      </c>
      <c r="D216" s="9" t="n">
        <v>26.01</v>
      </c>
      <c r="E216" s="8" t="s">
        <v>77</v>
      </c>
      <c r="F216" s="8" t="s">
        <v>78</v>
      </c>
      <c r="G216" s="8" t="n">
        <v>0.7</v>
      </c>
    </row>
    <row r="217" customFormat="false" ht="15" hidden="false" customHeight="false" outlineLevel="0" collapsed="false">
      <c r="A217" s="8" t="n">
        <v>100216</v>
      </c>
      <c r="B217" s="8" t="s">
        <v>61</v>
      </c>
      <c r="C217" s="9" t="n">
        <v>60.92</v>
      </c>
      <c r="D217" s="9" t="n">
        <v>48.34</v>
      </c>
      <c r="E217" s="8" t="s">
        <v>77</v>
      </c>
      <c r="F217" s="8" t="s">
        <v>78</v>
      </c>
      <c r="G217" s="8" t="n">
        <v>0.7</v>
      </c>
    </row>
    <row r="218" customFormat="false" ht="15" hidden="false" customHeight="false" outlineLevel="0" collapsed="false">
      <c r="A218" s="8" t="n">
        <v>100217</v>
      </c>
      <c r="B218" s="8" t="s">
        <v>65</v>
      </c>
      <c r="C218" s="9" t="n">
        <v>330.94</v>
      </c>
      <c r="D218" s="9" t="n">
        <v>234.24</v>
      </c>
      <c r="E218" s="8" t="s">
        <v>77</v>
      </c>
      <c r="F218" s="8" t="s">
        <v>78</v>
      </c>
      <c r="G218" s="8" t="n">
        <v>2.6</v>
      </c>
    </row>
    <row r="219" customFormat="false" ht="15" hidden="false" customHeight="false" outlineLevel="0" collapsed="false">
      <c r="A219" s="8" t="n">
        <v>100218</v>
      </c>
      <c r="B219" s="8" t="s">
        <v>64</v>
      </c>
      <c r="C219" s="9" t="n">
        <v>240.88</v>
      </c>
      <c r="D219" s="9" t="n">
        <v>164.65</v>
      </c>
      <c r="E219" s="8" t="s">
        <v>77</v>
      </c>
      <c r="F219" s="8" t="s">
        <v>78</v>
      </c>
      <c r="G219" s="8" t="n">
        <v>1.92</v>
      </c>
    </row>
    <row r="220" customFormat="false" ht="15" hidden="false" customHeight="false" outlineLevel="0" collapsed="false">
      <c r="A220" s="8" t="n">
        <v>100219</v>
      </c>
      <c r="B220" s="8" t="s">
        <v>63</v>
      </c>
      <c r="C220" s="9" t="n">
        <v>229.46</v>
      </c>
      <c r="D220" s="9" t="n">
        <v>165.79</v>
      </c>
      <c r="E220" s="8" t="s">
        <v>77</v>
      </c>
      <c r="F220" s="8" t="s">
        <v>78</v>
      </c>
      <c r="G220" s="8" t="n">
        <v>2.1</v>
      </c>
    </row>
    <row r="221" customFormat="false" ht="15" hidden="false" customHeight="false" outlineLevel="0" collapsed="false">
      <c r="A221" s="8" t="n">
        <v>100220</v>
      </c>
      <c r="B221" s="8" t="s">
        <v>63</v>
      </c>
      <c r="C221" s="9" t="n">
        <v>163.19</v>
      </c>
      <c r="D221" s="9" t="n">
        <v>117.1</v>
      </c>
      <c r="E221" s="8" t="s">
        <v>77</v>
      </c>
      <c r="F221" s="8" t="s">
        <v>78</v>
      </c>
      <c r="G221" s="8" t="n">
        <v>1.6</v>
      </c>
    </row>
    <row r="224" customFormat="false" ht="15" hidden="false" customHeight="false" outlineLevel="0" collapsed="false">
      <c r="A224" s="10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0" min="10" style="0" width="26"/>
  </cols>
  <sheetData>
    <row r="1" customFormat="false" ht="15" hidden="false" customHeight="false" outlineLevel="0" collapsed="false">
      <c r="A1" s="18" t="s">
        <v>266</v>
      </c>
    </row>
    <row r="2" customFormat="false" ht="45" hidden="false" customHeight="true" outlineLevel="0" collapsed="false">
      <c r="A2" s="15" t="s">
        <v>267</v>
      </c>
      <c r="B2" s="15"/>
      <c r="C2" s="15"/>
      <c r="D2" s="15"/>
      <c r="E2" s="15"/>
      <c r="F2" s="15"/>
      <c r="G2" s="15"/>
      <c r="H2" s="15"/>
      <c r="I2" s="15"/>
      <c r="J2" s="15"/>
    </row>
    <row r="4" customFormat="false" ht="15" hidden="false" customHeight="false" outlineLevel="0" collapsed="false">
      <c r="A4" s="6" t="s">
        <v>66</v>
      </c>
      <c r="B4" s="6" t="s">
        <v>67</v>
      </c>
      <c r="C4" s="6" t="s">
        <v>68</v>
      </c>
      <c r="D4" s="6" t="s">
        <v>69</v>
      </c>
      <c r="E4" s="6" t="s">
        <v>30</v>
      </c>
      <c r="F4" s="6" t="s">
        <v>59</v>
      </c>
      <c r="G4" s="6" t="s">
        <v>70</v>
      </c>
      <c r="H4" s="6" t="s">
        <v>71</v>
      </c>
      <c r="I4" s="6" t="s">
        <v>72</v>
      </c>
      <c r="J4" s="6" t="s">
        <v>73</v>
      </c>
    </row>
    <row r="5" customFormat="false" ht="15" hidden="false" customHeight="false" outlineLevel="0" collapsed="false">
      <c r="A5" s="12" t="n">
        <f aca="false">EHR_Export!A2</f>
        <v>100001</v>
      </c>
      <c r="B5" s="12" t="str">
        <f aca="false">EHR_Export!B2</f>
        <v>Dr. B. Chen</v>
      </c>
      <c r="C5" s="12" t="str">
        <f aca="false">EHR_Export!C2</f>
        <v>Nephrology</v>
      </c>
      <c r="D5" s="12" t="str">
        <f aca="false">EHR_Export!D2</f>
        <v>2025-02-14</v>
      </c>
      <c r="E5" s="12" t="str">
        <f aca="false">EHR_Export!E2</f>
        <v>99204</v>
      </c>
      <c r="F5" s="7" t="str">
        <f aca="false">INDEX(Billing_Export!$B$2:$B$221,MATCH(A5,Billing_Export!$A$2:$A$221,0))</f>
        <v>Medicare</v>
      </c>
      <c r="G5" s="14" t="n">
        <f aca="false">INDEX(Billing_Export!$C$2:$C$221,MATCH(A5,Billing_Export!$A$2:$A$221,0))</f>
        <v>224.32</v>
      </c>
      <c r="H5" s="14" t="n">
        <f aca="false">INDEX(Billing_Export!$D$2:$D$221,MATCH(A5,Billing_Export!$A$2:$A$221,0))</f>
        <v>180.57</v>
      </c>
      <c r="I5" s="7" t="str">
        <f aca="false">INDEX(Billing_Export!$E$2:$E$221,MATCH(A5,Billing_Export!$A$2:$A$221,0))</f>
        <v>Paid</v>
      </c>
      <c r="J5" s="7" t="str">
        <f aca="false">INDEX(Billing_Export!$F$2:$F$221,MATCH(A5,Billing_Export!$A$2:$A$221,0))</f>
        <v>None</v>
      </c>
    </row>
    <row r="6" customFormat="false" ht="15" hidden="false" customHeight="false" outlineLevel="0" collapsed="false">
      <c r="A6" s="12" t="n">
        <f aca="false">EHR_Export!A3</f>
        <v>100002</v>
      </c>
      <c r="B6" s="12" t="str">
        <f aca="false">EHR_Export!B3</f>
        <v>Dr. G. Kim</v>
      </c>
      <c r="C6" s="12" t="str">
        <f aca="false">EHR_Export!C3</f>
        <v>Endocrinology</v>
      </c>
      <c r="D6" s="12" t="str">
        <f aca="false">EHR_Export!D3</f>
        <v>2025-08-03</v>
      </c>
      <c r="E6" s="12" t="str">
        <f aca="false">EHR_Export!E3</f>
        <v>99213</v>
      </c>
      <c r="F6" s="7" t="str">
        <f aca="false">INDEX(Billing_Export!$B$2:$B$221,MATCH(A6,Billing_Export!$A$2:$A$221,0))</f>
        <v>Medicare</v>
      </c>
      <c r="G6" s="14" t="n">
        <f aca="false">INDEX(Billing_Export!$C$2:$C$221,MATCH(A6,Billing_Export!$A$2:$A$221,0))</f>
        <v>109.68</v>
      </c>
      <c r="H6" s="14" t="n">
        <f aca="false">INDEX(Billing_Export!$D$2:$D$221,MATCH(A6,Billing_Export!$A$2:$A$221,0))</f>
        <v>92.34</v>
      </c>
      <c r="I6" s="7" t="str">
        <f aca="false">INDEX(Billing_Export!$E$2:$E$221,MATCH(A6,Billing_Export!$A$2:$A$221,0))</f>
        <v>Paid</v>
      </c>
      <c r="J6" s="7" t="str">
        <f aca="false">INDEX(Billing_Export!$F$2:$F$221,MATCH(A6,Billing_Export!$A$2:$A$221,0))</f>
        <v>None</v>
      </c>
    </row>
    <row r="7" customFormat="false" ht="15" hidden="false" customHeight="false" outlineLevel="0" collapsed="false">
      <c r="A7" s="12" t="n">
        <f aca="false">EHR_Export!A4</f>
        <v>100003</v>
      </c>
      <c r="B7" s="12" t="str">
        <f aca="false">EHR_Export!B4</f>
        <v>Dr. D. Nguyen</v>
      </c>
      <c r="C7" s="12" t="str">
        <f aca="false">EHR_Export!C4</f>
        <v>Cardiology</v>
      </c>
      <c r="D7" s="12" t="str">
        <f aca="false">EHR_Export!D4</f>
        <v>2025-08-05</v>
      </c>
      <c r="E7" s="12" t="str">
        <f aca="false">EHR_Export!E4</f>
        <v>71046</v>
      </c>
      <c r="F7" s="7" t="str">
        <f aca="false">INDEX(Billing_Export!$B$2:$B$221,MATCH(A7,Billing_Export!$A$2:$A$221,0))</f>
        <v>Commercial - Blue Shield</v>
      </c>
      <c r="G7" s="14" t="n">
        <f aca="false">INDEX(Billing_Export!$C$2:$C$221,MATCH(A7,Billing_Export!$A$2:$A$221,0))</f>
        <v>79.06</v>
      </c>
      <c r="H7" s="14" t="n">
        <f aca="false">INDEX(Billing_Export!$D$2:$D$221,MATCH(A7,Billing_Export!$A$2:$A$221,0))</f>
        <v>45.38</v>
      </c>
      <c r="I7" s="7" t="str">
        <f aca="false">INDEX(Billing_Export!$E$2:$E$221,MATCH(A7,Billing_Export!$A$2:$A$221,0))</f>
        <v>Paid</v>
      </c>
      <c r="J7" s="7" t="str">
        <f aca="false">INDEX(Billing_Export!$F$2:$F$221,MATCH(A7,Billing_Export!$A$2:$A$221,0))</f>
        <v>None</v>
      </c>
    </row>
    <row r="8" customFormat="false" ht="15" hidden="false" customHeight="false" outlineLevel="0" collapsed="false">
      <c r="A8" s="12" t="n">
        <f aca="false">EHR_Export!A5</f>
        <v>100004</v>
      </c>
      <c r="B8" s="12" t="str">
        <f aca="false">EHR_Export!B5</f>
        <v>Dr. F. Martinez</v>
      </c>
      <c r="C8" s="12" t="str">
        <f aca="false">EHR_Export!C5</f>
        <v>Internal Medicine</v>
      </c>
      <c r="D8" s="12" t="str">
        <f aca="false">EHR_Export!D5</f>
        <v>2025-07-03</v>
      </c>
      <c r="E8" s="12" t="str">
        <f aca="false">EHR_Export!E5</f>
        <v>99215</v>
      </c>
      <c r="F8" s="7" t="str">
        <f aca="false">INDEX(Billing_Export!$B$2:$B$221,MATCH(A8,Billing_Export!$A$2:$A$221,0))</f>
        <v>Kaiser HMO</v>
      </c>
      <c r="G8" s="14" t="n">
        <f aca="false">INDEX(Billing_Export!$C$2:$C$221,MATCH(A8,Billing_Export!$A$2:$A$221,0))</f>
        <v>244.39</v>
      </c>
      <c r="H8" s="14" t="n">
        <f aca="false">INDEX(Billing_Export!$D$2:$D$221,MATCH(A8,Billing_Export!$A$2:$A$221,0))</f>
        <v>194.59</v>
      </c>
      <c r="I8" s="7" t="str">
        <f aca="false">INDEX(Billing_Export!$E$2:$E$221,MATCH(A8,Billing_Export!$A$2:$A$221,0))</f>
        <v>Paid</v>
      </c>
      <c r="J8" s="7" t="str">
        <f aca="false">INDEX(Billing_Export!$F$2:$F$221,MATCH(A8,Billing_Export!$A$2:$A$221,0))</f>
        <v>None</v>
      </c>
    </row>
    <row r="9" customFormat="false" ht="15" hidden="false" customHeight="false" outlineLevel="0" collapsed="false">
      <c r="A9" s="12" t="n">
        <f aca="false">EHR_Export!A6</f>
        <v>100005</v>
      </c>
      <c r="B9" s="12" t="str">
        <f aca="false">EHR_Export!B6</f>
        <v>Dr. F. Martinez</v>
      </c>
      <c r="C9" s="12" t="str">
        <f aca="false">EHR_Export!C6</f>
        <v>Internal Medicine</v>
      </c>
      <c r="D9" s="12" t="str">
        <f aca="false">EHR_Export!D6</f>
        <v>2025-07-13</v>
      </c>
      <c r="E9" s="12" t="str">
        <f aca="false">EHR_Export!E6</f>
        <v>99204</v>
      </c>
      <c r="F9" s="7" t="str">
        <f aca="false">INDEX(Billing_Export!$B$2:$B$221,MATCH(A9,Billing_Export!$A$2:$A$221,0))</f>
        <v>Commercial - Aetna</v>
      </c>
      <c r="G9" s="14" t="n">
        <f aca="false">INDEX(Billing_Export!$C$2:$C$221,MATCH(A9,Billing_Export!$A$2:$A$221,0))</f>
        <v>348.04</v>
      </c>
      <c r="H9" s="14" t="n">
        <f aca="false">INDEX(Billing_Export!$D$2:$D$221,MATCH(A9,Billing_Export!$A$2:$A$221,0))</f>
        <v>236.53</v>
      </c>
      <c r="I9" s="7" t="str">
        <f aca="false">INDEX(Billing_Export!$E$2:$E$221,MATCH(A9,Billing_Export!$A$2:$A$221,0))</f>
        <v>Paid</v>
      </c>
      <c r="J9" s="7" t="str">
        <f aca="false">INDEX(Billing_Export!$F$2:$F$221,MATCH(A9,Billing_Export!$A$2:$A$221,0))</f>
        <v>None</v>
      </c>
    </row>
    <row r="10" customFormat="false" ht="15" hidden="false" customHeight="false" outlineLevel="0" collapsed="false">
      <c r="A10" s="12" t="n">
        <f aca="false">EHR_Export!A7</f>
        <v>100006</v>
      </c>
      <c r="B10" s="12" t="str">
        <f aca="false">EHR_Export!B7</f>
        <v>Dr. B. Chen</v>
      </c>
      <c r="C10" s="12" t="str">
        <f aca="false">EHR_Export!C7</f>
        <v>Nephrology</v>
      </c>
      <c r="D10" s="12" t="str">
        <f aca="false">EHR_Export!D7</f>
        <v>2025-02-05</v>
      </c>
      <c r="E10" s="12" t="str">
        <f aca="false">EHR_Export!E7</f>
        <v>99204</v>
      </c>
      <c r="F10" s="7" t="str">
        <f aca="false">INDEX(Billing_Export!$B$2:$B$221,MATCH(A10,Billing_Export!$A$2:$A$221,0))</f>
        <v>Commercial - Aetna</v>
      </c>
      <c r="G10" s="14" t="n">
        <f aca="false">INDEX(Billing_Export!$C$2:$C$221,MATCH(A10,Billing_Export!$A$2:$A$221,0))</f>
        <v>350.34</v>
      </c>
      <c r="H10" s="14" t="n">
        <f aca="false">INDEX(Billing_Export!$D$2:$D$221,MATCH(A10,Billing_Export!$A$2:$A$221,0))</f>
        <v>261.42</v>
      </c>
      <c r="I10" s="7" t="str">
        <f aca="false">INDEX(Billing_Export!$E$2:$E$221,MATCH(A10,Billing_Export!$A$2:$A$221,0))</f>
        <v>Paid</v>
      </c>
      <c r="J10" s="7" t="str">
        <f aca="false">INDEX(Billing_Export!$F$2:$F$221,MATCH(A10,Billing_Export!$A$2:$A$221,0))</f>
        <v>None</v>
      </c>
    </row>
    <row r="11" customFormat="false" ht="15" hidden="false" customHeight="false" outlineLevel="0" collapsed="false">
      <c r="A11" s="12" t="n">
        <f aca="false">EHR_Export!A8</f>
        <v>100007</v>
      </c>
      <c r="B11" s="12" t="str">
        <f aca="false">EHR_Export!B8</f>
        <v>Dr. A. Reyes</v>
      </c>
      <c r="C11" s="12" t="str">
        <f aca="false">EHR_Export!C8</f>
        <v>Nephrology</v>
      </c>
      <c r="D11" s="12" t="str">
        <f aca="false">EHR_Export!D8</f>
        <v>2025-08-21</v>
      </c>
      <c r="E11" s="12" t="str">
        <f aca="false">EHR_Export!E8</f>
        <v>99204</v>
      </c>
      <c r="F11" s="7" t="str">
        <f aca="false">INDEX(Billing_Export!$B$2:$B$221,MATCH(A11,Billing_Export!$A$2:$A$221,0))</f>
        <v>Medicaid</v>
      </c>
      <c r="G11" s="14" t="n">
        <f aca="false">INDEX(Billing_Export!$C$2:$C$221,MATCH(A11,Billing_Export!$A$2:$A$221,0))</f>
        <v>188.02</v>
      </c>
      <c r="H11" s="14" t="n">
        <f aca="false">INDEX(Billing_Export!$D$2:$D$221,MATCH(A11,Billing_Export!$A$2:$A$221,0))</f>
        <v>130.63</v>
      </c>
      <c r="I11" s="7" t="str">
        <f aca="false">INDEX(Billing_Export!$E$2:$E$221,MATCH(A11,Billing_Export!$A$2:$A$221,0))</f>
        <v>Paid</v>
      </c>
      <c r="J11" s="7" t="str">
        <f aca="false">INDEX(Billing_Export!$F$2:$F$221,MATCH(A11,Billing_Export!$A$2:$A$221,0))</f>
        <v>None</v>
      </c>
    </row>
    <row r="12" customFormat="false" ht="15" hidden="false" customHeight="false" outlineLevel="0" collapsed="false">
      <c r="A12" s="12" t="n">
        <f aca="false">EHR_Export!A9</f>
        <v>100008</v>
      </c>
      <c r="B12" s="12" t="str">
        <f aca="false">EHR_Export!B9</f>
        <v>Dr. F. Martinez</v>
      </c>
      <c r="C12" s="12" t="str">
        <f aca="false">EHR_Export!C9</f>
        <v>Internal Medicine</v>
      </c>
      <c r="D12" s="12" t="str">
        <f aca="false">EHR_Export!D9</f>
        <v>2025-02-06</v>
      </c>
      <c r="E12" s="12" t="str">
        <f aca="false">EHR_Export!E9</f>
        <v>90935</v>
      </c>
      <c r="F12" s="7" t="str">
        <f aca="false">INDEX(Billing_Export!$B$2:$B$221,MATCH(A12,Billing_Export!$A$2:$A$221,0))</f>
        <v>Medicaid</v>
      </c>
      <c r="G12" s="14" t="n">
        <f aca="false">INDEX(Billing_Export!$C$2:$C$221,MATCH(A12,Billing_Export!$A$2:$A$221,0))</f>
        <v>125.75</v>
      </c>
      <c r="H12" s="14" t="n">
        <f aca="false">INDEX(Billing_Export!$D$2:$D$221,MATCH(A12,Billing_Export!$A$2:$A$221,0))</f>
        <v>80.32</v>
      </c>
      <c r="I12" s="7" t="str">
        <f aca="false">INDEX(Billing_Export!$E$2:$E$221,MATCH(A12,Billing_Export!$A$2:$A$221,0))</f>
        <v>Paid</v>
      </c>
      <c r="J12" s="7" t="str">
        <f aca="false">INDEX(Billing_Export!$F$2:$F$221,MATCH(A12,Billing_Export!$A$2:$A$221,0))</f>
        <v>None</v>
      </c>
    </row>
    <row r="13" customFormat="false" ht="15" hidden="false" customHeight="false" outlineLevel="0" collapsed="false">
      <c r="A13" s="12" t="n">
        <f aca="false">EHR_Export!A10</f>
        <v>100009</v>
      </c>
      <c r="B13" s="12" t="str">
        <f aca="false">EHR_Export!B10</f>
        <v>Dr. C. Okafor</v>
      </c>
      <c r="C13" s="12" t="str">
        <f aca="false">EHR_Export!C10</f>
        <v>Cardiology</v>
      </c>
      <c r="D13" s="12" t="str">
        <f aca="false">EHR_Export!D10</f>
        <v>2025-04-23</v>
      </c>
      <c r="E13" s="12" t="str">
        <f aca="false">EHR_Export!E10</f>
        <v>99203</v>
      </c>
      <c r="F13" s="7" t="str">
        <f aca="false">INDEX(Billing_Export!$B$2:$B$221,MATCH(A13,Billing_Export!$A$2:$A$221,0))</f>
        <v>Commercial - Aetna</v>
      </c>
      <c r="G13" s="14" t="n">
        <f aca="false">INDEX(Billing_Export!$C$2:$C$221,MATCH(A13,Billing_Export!$A$2:$A$221,0))</f>
        <v>177.41</v>
      </c>
      <c r="H13" s="14" t="n">
        <f aca="false">INDEX(Billing_Export!$D$2:$D$221,MATCH(A13,Billing_Export!$A$2:$A$221,0))</f>
        <v>166.17</v>
      </c>
      <c r="I13" s="7" t="str">
        <f aca="false">INDEX(Billing_Export!$E$2:$E$221,MATCH(A13,Billing_Export!$A$2:$A$221,0))</f>
        <v>Paid</v>
      </c>
      <c r="J13" s="7" t="str">
        <f aca="false">INDEX(Billing_Export!$F$2:$F$221,MATCH(A13,Billing_Export!$A$2:$A$221,0))</f>
        <v>None</v>
      </c>
    </row>
    <row r="14" customFormat="false" ht="15" hidden="false" customHeight="false" outlineLevel="0" collapsed="false">
      <c r="A14" s="12" t="n">
        <f aca="false">EHR_Export!A11</f>
        <v>100010</v>
      </c>
      <c r="B14" s="12" t="str">
        <f aca="false">EHR_Export!B11</f>
        <v>Dr. F. Martinez</v>
      </c>
      <c r="C14" s="12" t="str">
        <f aca="false">EHR_Export!C11</f>
        <v>Internal Medicine</v>
      </c>
      <c r="D14" s="12" t="str">
        <f aca="false">EHR_Export!D11</f>
        <v>2025-06-11</v>
      </c>
      <c r="E14" s="12" t="str">
        <f aca="false">EHR_Export!E11</f>
        <v>99203</v>
      </c>
      <c r="F14" s="7" t="str">
        <f aca="false">INDEX(Billing_Export!$B$2:$B$221,MATCH(A14,Billing_Export!$A$2:$A$221,0))</f>
        <v>Medicare</v>
      </c>
      <c r="G14" s="14" t="n">
        <f aca="false">INDEX(Billing_Export!$C$2:$C$221,MATCH(A14,Billing_Export!$A$2:$A$221,0))</f>
        <v>170.22</v>
      </c>
      <c r="H14" s="14" t="n">
        <f aca="false">INDEX(Billing_Export!$D$2:$D$221,MATCH(A14,Billing_Export!$A$2:$A$221,0))</f>
        <v>109.08</v>
      </c>
      <c r="I14" s="7" t="str">
        <f aca="false">INDEX(Billing_Export!$E$2:$E$221,MATCH(A14,Billing_Export!$A$2:$A$221,0))</f>
        <v>Paid</v>
      </c>
      <c r="J14" s="7" t="str">
        <f aca="false">INDEX(Billing_Export!$F$2:$F$221,MATCH(A14,Billing_Export!$A$2:$A$221,0))</f>
        <v>None</v>
      </c>
    </row>
    <row r="15" customFormat="false" ht="15" hidden="false" customHeight="false" outlineLevel="0" collapsed="false">
      <c r="A15" s="12" t="n">
        <f aca="false">EHR_Export!A12</f>
        <v>100011</v>
      </c>
      <c r="B15" s="12" t="str">
        <f aca="false">EHR_Export!B12</f>
        <v>Dr. D. Nguyen</v>
      </c>
      <c r="C15" s="12" t="str">
        <f aca="false">EHR_Export!C12</f>
        <v>Cardiology</v>
      </c>
      <c r="D15" s="12" t="str">
        <f aca="false">EHR_Export!D12</f>
        <v>2025-05-15</v>
      </c>
      <c r="E15" s="12" t="str">
        <f aca="false">EHR_Export!E12</f>
        <v>36415</v>
      </c>
      <c r="F15" s="7" t="str">
        <f aca="false">INDEX(Billing_Export!$B$2:$B$221,MATCH(A15,Billing_Export!$A$2:$A$221,0))</f>
        <v>Commercial - Blue Shield</v>
      </c>
      <c r="G15" s="14" t="n">
        <f aca="false">INDEX(Billing_Export!$C$2:$C$221,MATCH(A15,Billing_Export!$A$2:$A$221,0))</f>
        <v>24.77</v>
      </c>
      <c r="H15" s="14" t="n">
        <f aca="false">INDEX(Billing_Export!$D$2:$D$221,MATCH(A15,Billing_Export!$A$2:$A$221,0))</f>
        <v>15.65</v>
      </c>
      <c r="I15" s="7" t="str">
        <f aca="false">INDEX(Billing_Export!$E$2:$E$221,MATCH(A15,Billing_Export!$A$2:$A$221,0))</f>
        <v>Paid</v>
      </c>
      <c r="J15" s="7" t="str">
        <f aca="false">INDEX(Billing_Export!$F$2:$F$221,MATCH(A15,Billing_Export!$A$2:$A$221,0))</f>
        <v>None</v>
      </c>
    </row>
    <row r="16" customFormat="false" ht="15" hidden="false" customHeight="false" outlineLevel="0" collapsed="false">
      <c r="A16" s="12" t="n">
        <f aca="false">EHR_Export!A13</f>
        <v>100012</v>
      </c>
      <c r="B16" s="12" t="str">
        <f aca="false">EHR_Export!B13</f>
        <v>Dr. G. Kim</v>
      </c>
      <c r="C16" s="12" t="str">
        <f aca="false">EHR_Export!C13</f>
        <v>Endocrinology</v>
      </c>
      <c r="D16" s="12" t="str">
        <f aca="false">EHR_Export!D13</f>
        <v>2025-03-12</v>
      </c>
      <c r="E16" s="12" t="str">
        <f aca="false">EHR_Export!E13</f>
        <v>36415</v>
      </c>
      <c r="F16" s="7" t="str">
        <f aca="false">INDEX(Billing_Export!$B$2:$B$221,MATCH(A16,Billing_Export!$A$2:$A$221,0))</f>
        <v>Commercial - Aetna</v>
      </c>
      <c r="G16" s="14" t="n">
        <f aca="false">INDEX(Billing_Export!$C$2:$C$221,MATCH(A16,Billing_Export!$A$2:$A$221,0))</f>
        <v>21.01</v>
      </c>
      <c r="H16" s="14" t="n">
        <f aca="false">INDEX(Billing_Export!$D$2:$D$221,MATCH(A16,Billing_Export!$A$2:$A$221,0))</f>
        <v>0</v>
      </c>
      <c r="I16" s="7" t="str">
        <f aca="false">INDEX(Billing_Export!$E$2:$E$221,MATCH(A16,Billing_Export!$A$2:$A$221,0))</f>
        <v>Pending</v>
      </c>
      <c r="J16" s="7" t="str">
        <f aca="false">INDEX(Billing_Export!$F$2:$F$221,MATCH(A16,Billing_Export!$A$2:$A$221,0))</f>
        <v>None</v>
      </c>
    </row>
    <row r="17" customFormat="false" ht="15" hidden="false" customHeight="false" outlineLevel="0" collapsed="false">
      <c r="A17" s="12" t="n">
        <f aca="false">EHR_Export!A14</f>
        <v>100013</v>
      </c>
      <c r="B17" s="12" t="str">
        <f aca="false">EHR_Export!B14</f>
        <v>Dr. H. Thompson</v>
      </c>
      <c r="C17" s="12" t="str">
        <f aca="false">EHR_Export!C14</f>
        <v>Family Medicine</v>
      </c>
      <c r="D17" s="12" t="str">
        <f aca="false">EHR_Export!D14</f>
        <v>2025-02-02</v>
      </c>
      <c r="E17" s="12" t="str">
        <f aca="false">EHR_Export!E14</f>
        <v>99213</v>
      </c>
      <c r="F17" s="7" t="str">
        <f aca="false">INDEX(Billing_Export!$B$2:$B$221,MATCH(A17,Billing_Export!$A$2:$A$221,0))</f>
        <v>Medicare</v>
      </c>
      <c r="G17" s="14" t="n">
        <f aca="false">INDEX(Billing_Export!$C$2:$C$221,MATCH(A17,Billing_Export!$A$2:$A$221,0))</f>
        <v>141.45</v>
      </c>
      <c r="H17" s="14" t="n">
        <f aca="false">INDEX(Billing_Export!$D$2:$D$221,MATCH(A17,Billing_Export!$A$2:$A$221,0))</f>
        <v>93</v>
      </c>
      <c r="I17" s="7" t="str">
        <f aca="false">INDEX(Billing_Export!$E$2:$E$221,MATCH(A17,Billing_Export!$A$2:$A$221,0))</f>
        <v>Paid</v>
      </c>
      <c r="J17" s="7" t="str">
        <f aca="false">INDEX(Billing_Export!$F$2:$F$221,MATCH(A17,Billing_Export!$A$2:$A$221,0))</f>
        <v>None</v>
      </c>
    </row>
    <row r="18" customFormat="false" ht="15" hidden="false" customHeight="false" outlineLevel="0" collapsed="false">
      <c r="A18" s="12" t="n">
        <f aca="false">EHR_Export!A15</f>
        <v>100014</v>
      </c>
      <c r="B18" s="12" t="str">
        <f aca="false">EHR_Export!B15</f>
        <v>Dr. G. Kim</v>
      </c>
      <c r="C18" s="12" t="str">
        <f aca="false">EHR_Export!C15</f>
        <v>Endocrinology</v>
      </c>
      <c r="D18" s="12" t="str">
        <f aca="false">EHR_Export!D15</f>
        <v>2025-01-06</v>
      </c>
      <c r="E18" s="12" t="str">
        <f aca="false">EHR_Export!E15</f>
        <v>71046</v>
      </c>
      <c r="F18" s="7" t="str">
        <f aca="false">INDEX(Billing_Export!$B$2:$B$221,MATCH(A18,Billing_Export!$A$2:$A$221,0))</f>
        <v>Commercial - Blue Shield</v>
      </c>
      <c r="G18" s="14" t="n">
        <f aca="false">INDEX(Billing_Export!$C$2:$C$221,MATCH(A18,Billing_Export!$A$2:$A$221,0))</f>
        <v>99.09</v>
      </c>
      <c r="H18" s="14" t="n">
        <f aca="false">INDEX(Billing_Export!$D$2:$D$221,MATCH(A18,Billing_Export!$A$2:$A$221,0))</f>
        <v>73.11</v>
      </c>
      <c r="I18" s="7" t="str">
        <f aca="false">INDEX(Billing_Export!$E$2:$E$221,MATCH(A18,Billing_Export!$A$2:$A$221,0))</f>
        <v>Paid</v>
      </c>
      <c r="J18" s="7" t="str">
        <f aca="false">INDEX(Billing_Export!$F$2:$F$221,MATCH(A18,Billing_Export!$A$2:$A$221,0))</f>
        <v>None</v>
      </c>
    </row>
    <row r="19" customFormat="false" ht="15" hidden="false" customHeight="false" outlineLevel="0" collapsed="false">
      <c r="A19" s="12" t="n">
        <f aca="false">EHR_Export!A16</f>
        <v>100015</v>
      </c>
      <c r="B19" s="12" t="str">
        <f aca="false">EHR_Export!B16</f>
        <v>Dr. B. Chen</v>
      </c>
      <c r="C19" s="12" t="str">
        <f aca="false">EHR_Export!C16</f>
        <v>Nephrology</v>
      </c>
      <c r="D19" s="12" t="str">
        <f aca="false">EHR_Export!D16</f>
        <v>2025-01-02</v>
      </c>
      <c r="E19" s="12" t="str">
        <f aca="false">EHR_Export!E16</f>
        <v>99204</v>
      </c>
      <c r="F19" s="7" t="str">
        <f aca="false">INDEX(Billing_Export!$B$2:$B$221,MATCH(A19,Billing_Export!$A$2:$A$221,0))</f>
        <v>Commercial - Aetna</v>
      </c>
      <c r="G19" s="14" t="n">
        <f aca="false">INDEX(Billing_Export!$C$2:$C$221,MATCH(A19,Billing_Export!$A$2:$A$221,0))</f>
        <v>344.05</v>
      </c>
      <c r="H19" s="14" t="n">
        <f aca="false">INDEX(Billing_Export!$D$2:$D$221,MATCH(A19,Billing_Export!$A$2:$A$221,0))</f>
        <v>225.28</v>
      </c>
      <c r="I19" s="7" t="str">
        <f aca="false">INDEX(Billing_Export!$E$2:$E$221,MATCH(A19,Billing_Export!$A$2:$A$221,0))</f>
        <v>Paid</v>
      </c>
      <c r="J19" s="7" t="str">
        <f aca="false">INDEX(Billing_Export!$F$2:$F$221,MATCH(A19,Billing_Export!$A$2:$A$221,0))</f>
        <v>None</v>
      </c>
    </row>
    <row r="20" customFormat="false" ht="15" hidden="false" customHeight="false" outlineLevel="0" collapsed="false">
      <c r="A20" s="12" t="n">
        <f aca="false">EHR_Export!A17</f>
        <v>100016</v>
      </c>
      <c r="B20" s="12" t="str">
        <f aca="false">EHR_Export!B17</f>
        <v>Dr. E. Patel</v>
      </c>
      <c r="C20" s="12" t="str">
        <f aca="false">EHR_Export!C17</f>
        <v>Internal Medicine</v>
      </c>
      <c r="D20" s="12" t="str">
        <f aca="false">EHR_Export!D17</f>
        <v>2025-09-17</v>
      </c>
      <c r="E20" s="12" t="str">
        <f aca="false">EHR_Export!E17</f>
        <v>99215</v>
      </c>
      <c r="F20" s="7" t="str">
        <f aca="false">INDEX(Billing_Export!$B$2:$B$221,MATCH(A20,Billing_Export!$A$2:$A$221,0))</f>
        <v>Commercial - Aetna</v>
      </c>
      <c r="G20" s="14" t="n">
        <f aca="false">INDEX(Billing_Export!$C$2:$C$221,MATCH(A20,Billing_Export!$A$2:$A$221,0))</f>
        <v>325.32</v>
      </c>
      <c r="H20" s="14" t="n">
        <f aca="false">INDEX(Billing_Export!$D$2:$D$221,MATCH(A20,Billing_Export!$A$2:$A$221,0))</f>
        <v>240.84</v>
      </c>
      <c r="I20" s="7" t="str">
        <f aca="false">INDEX(Billing_Export!$E$2:$E$221,MATCH(A20,Billing_Export!$A$2:$A$221,0))</f>
        <v>Paid</v>
      </c>
      <c r="J20" s="7" t="str">
        <f aca="false">INDEX(Billing_Export!$F$2:$F$221,MATCH(A20,Billing_Export!$A$2:$A$221,0))</f>
        <v>None</v>
      </c>
    </row>
    <row r="21" customFormat="false" ht="15" hidden="false" customHeight="false" outlineLevel="0" collapsed="false">
      <c r="A21" s="12" t="n">
        <f aca="false">EHR_Export!A18</f>
        <v>100017</v>
      </c>
      <c r="B21" s="12" t="str">
        <f aca="false">EHR_Export!B18</f>
        <v>Dr. D. Nguyen</v>
      </c>
      <c r="C21" s="12" t="str">
        <f aca="false">EHR_Export!C18</f>
        <v>Cardiology</v>
      </c>
      <c r="D21" s="12" t="str">
        <f aca="false">EHR_Export!D18</f>
        <v>2025-01-01</v>
      </c>
      <c r="E21" s="12" t="str">
        <f aca="false">EHR_Export!E18</f>
        <v>90935</v>
      </c>
      <c r="F21" s="7" t="str">
        <f aca="false">INDEX(Billing_Export!$B$2:$B$221,MATCH(A21,Billing_Export!$A$2:$A$221,0))</f>
        <v>Medicaid</v>
      </c>
      <c r="G21" s="14" t="n">
        <f aca="false">INDEX(Billing_Export!$C$2:$C$221,MATCH(A21,Billing_Export!$A$2:$A$221,0))</f>
        <v>143.34</v>
      </c>
      <c r="H21" s="14" t="n">
        <f aca="false">INDEX(Billing_Export!$D$2:$D$221,MATCH(A21,Billing_Export!$A$2:$A$221,0))</f>
        <v>77.38</v>
      </c>
      <c r="I21" s="7" t="str">
        <f aca="false">INDEX(Billing_Export!$E$2:$E$221,MATCH(A21,Billing_Export!$A$2:$A$221,0))</f>
        <v>Paid</v>
      </c>
      <c r="J21" s="7" t="str">
        <f aca="false">INDEX(Billing_Export!$F$2:$F$221,MATCH(A21,Billing_Export!$A$2:$A$221,0))</f>
        <v>None</v>
      </c>
    </row>
    <row r="22" customFormat="false" ht="15" hidden="false" customHeight="false" outlineLevel="0" collapsed="false">
      <c r="A22" s="12" t="n">
        <f aca="false">EHR_Export!A19</f>
        <v>100018</v>
      </c>
      <c r="B22" s="12" t="str">
        <f aca="false">EHR_Export!B19</f>
        <v>Dr. F. Martinez</v>
      </c>
      <c r="C22" s="12" t="str">
        <f aca="false">EHR_Export!C19</f>
        <v>Internal Medicine</v>
      </c>
      <c r="D22" s="12" t="str">
        <f aca="false">EHR_Export!D19</f>
        <v>2025-05-03</v>
      </c>
      <c r="E22" s="12" t="str">
        <f aca="false">EHR_Export!E19</f>
        <v>99213</v>
      </c>
      <c r="F22" s="7" t="str">
        <f aca="false">INDEX(Billing_Export!$B$2:$B$221,MATCH(A22,Billing_Export!$A$2:$A$221,0))</f>
        <v>Commercial - Blue Shield</v>
      </c>
      <c r="G22" s="14" t="n">
        <f aca="false">INDEX(Billing_Export!$C$2:$C$221,MATCH(A22,Billing_Export!$A$2:$A$221,0))</f>
        <v>141.64</v>
      </c>
      <c r="H22" s="14" t="n">
        <f aca="false">INDEX(Billing_Export!$D$2:$D$221,MATCH(A22,Billing_Export!$A$2:$A$221,0))</f>
        <v>138.18</v>
      </c>
      <c r="I22" s="7" t="str">
        <f aca="false">INDEX(Billing_Export!$E$2:$E$221,MATCH(A22,Billing_Export!$A$2:$A$221,0))</f>
        <v>Paid</v>
      </c>
      <c r="J22" s="7" t="str">
        <f aca="false">INDEX(Billing_Export!$F$2:$F$221,MATCH(A22,Billing_Export!$A$2:$A$221,0))</f>
        <v>None</v>
      </c>
    </row>
    <row r="23" customFormat="false" ht="15" hidden="false" customHeight="false" outlineLevel="0" collapsed="false">
      <c r="A23" s="12" t="n">
        <f aca="false">EHR_Export!A20</f>
        <v>100019</v>
      </c>
      <c r="B23" s="12" t="str">
        <f aca="false">EHR_Export!B20</f>
        <v>Dr. A. Reyes</v>
      </c>
      <c r="C23" s="12" t="str">
        <f aca="false">EHR_Export!C20</f>
        <v>Nephrology</v>
      </c>
      <c r="D23" s="12" t="str">
        <f aca="false">EHR_Export!D20</f>
        <v>2025-03-06</v>
      </c>
      <c r="E23" s="12" t="str">
        <f aca="false">EHR_Export!E20</f>
        <v>71046</v>
      </c>
      <c r="F23" s="7" t="str">
        <f aca="false">INDEX(Billing_Export!$B$2:$B$221,MATCH(A23,Billing_Export!$A$2:$A$221,0))</f>
        <v>Medicaid</v>
      </c>
      <c r="G23" s="14" t="n">
        <f aca="false">INDEX(Billing_Export!$C$2:$C$221,MATCH(A23,Billing_Export!$A$2:$A$221,0))</f>
        <v>50.44</v>
      </c>
      <c r="H23" s="14" t="n">
        <f aca="false">INDEX(Billing_Export!$D$2:$D$221,MATCH(A23,Billing_Export!$A$2:$A$221,0))</f>
        <v>31.17</v>
      </c>
      <c r="I23" s="7" t="str">
        <f aca="false">INDEX(Billing_Export!$E$2:$E$221,MATCH(A23,Billing_Export!$A$2:$A$221,0))</f>
        <v>Paid</v>
      </c>
      <c r="J23" s="7" t="str">
        <f aca="false">INDEX(Billing_Export!$F$2:$F$221,MATCH(A23,Billing_Export!$A$2:$A$221,0))</f>
        <v>None</v>
      </c>
    </row>
    <row r="24" customFormat="false" ht="15" hidden="false" customHeight="false" outlineLevel="0" collapsed="false">
      <c r="A24" s="12" t="n">
        <f aca="false">EHR_Export!A21</f>
        <v>100020</v>
      </c>
      <c r="B24" s="12" t="str">
        <f aca="false">EHR_Export!B21</f>
        <v>Dr. C. Okafor</v>
      </c>
      <c r="C24" s="12" t="str">
        <f aca="false">EHR_Export!C21</f>
        <v>Cardiology</v>
      </c>
      <c r="D24" s="12" t="str">
        <f aca="false">EHR_Export!D21</f>
        <v>2025-04-13</v>
      </c>
      <c r="E24" s="12" t="str">
        <f aca="false">EHR_Export!E21</f>
        <v>93000</v>
      </c>
      <c r="F24" s="7" t="str">
        <f aca="false">INDEX(Billing_Export!$B$2:$B$221,MATCH(A24,Billing_Export!$A$2:$A$221,0))</f>
        <v>Commercial - Blue Shield</v>
      </c>
      <c r="G24" s="14" t="n">
        <f aca="false">INDEX(Billing_Export!$C$2:$C$221,MATCH(A24,Billing_Export!$A$2:$A$221,0))</f>
        <v>53.87</v>
      </c>
      <c r="H24" s="14" t="n">
        <f aca="false">INDEX(Billing_Export!$D$2:$D$221,MATCH(A24,Billing_Export!$A$2:$A$221,0))</f>
        <v>45.23</v>
      </c>
      <c r="I24" s="7" t="str">
        <f aca="false">INDEX(Billing_Export!$E$2:$E$221,MATCH(A24,Billing_Export!$A$2:$A$221,0))</f>
        <v>Paid</v>
      </c>
      <c r="J24" s="7" t="str">
        <f aca="false">INDEX(Billing_Export!$F$2:$F$221,MATCH(A24,Billing_Export!$A$2:$A$221,0))</f>
        <v>None</v>
      </c>
    </row>
    <row r="25" customFormat="false" ht="15" hidden="false" customHeight="false" outlineLevel="0" collapsed="false">
      <c r="A25" s="12" t="n">
        <f aca="false">EHR_Export!A22</f>
        <v>100021</v>
      </c>
      <c r="B25" s="12" t="str">
        <f aca="false">EHR_Export!B22</f>
        <v>Dr. E. Patel</v>
      </c>
      <c r="C25" s="12" t="str">
        <f aca="false">EHR_Export!C22</f>
        <v>Internal Medicine</v>
      </c>
      <c r="D25" s="12" t="str">
        <f aca="false">EHR_Export!D22</f>
        <v>2025-06-23</v>
      </c>
      <c r="E25" s="12" t="str">
        <f aca="false">EHR_Export!E22</f>
        <v>90935</v>
      </c>
      <c r="F25" s="7" t="str">
        <f aca="false">INDEX(Billing_Export!$B$2:$B$221,MATCH(A25,Billing_Export!$A$2:$A$221,0))</f>
        <v>Commercial - Blue Shield</v>
      </c>
      <c r="G25" s="14" t="n">
        <f aca="false">INDEX(Billing_Export!$C$2:$C$221,MATCH(A25,Billing_Export!$A$2:$A$221,0))</f>
        <v>251.92</v>
      </c>
      <c r="H25" s="14" t="n">
        <f aca="false">INDEX(Billing_Export!$D$2:$D$221,MATCH(A25,Billing_Export!$A$2:$A$221,0))</f>
        <v>183.91</v>
      </c>
      <c r="I25" s="7" t="str">
        <f aca="false">INDEX(Billing_Export!$E$2:$E$221,MATCH(A25,Billing_Export!$A$2:$A$221,0))</f>
        <v>Paid</v>
      </c>
      <c r="J25" s="7" t="str">
        <f aca="false">INDEX(Billing_Export!$F$2:$F$221,MATCH(A25,Billing_Export!$A$2:$A$221,0))</f>
        <v>None</v>
      </c>
    </row>
    <row r="26" customFormat="false" ht="15" hidden="false" customHeight="false" outlineLevel="0" collapsed="false">
      <c r="A26" s="12" t="n">
        <f aca="false">EHR_Export!A23</f>
        <v>100022</v>
      </c>
      <c r="B26" s="12" t="str">
        <f aca="false">EHR_Export!B23</f>
        <v>Dr. A. Reyes</v>
      </c>
      <c r="C26" s="12" t="str">
        <f aca="false">EHR_Export!C23</f>
        <v>Nephrology</v>
      </c>
      <c r="D26" s="12" t="str">
        <f aca="false">EHR_Export!D23</f>
        <v>2025-04-28</v>
      </c>
      <c r="E26" s="12" t="str">
        <f aca="false">EHR_Export!E23</f>
        <v>93000</v>
      </c>
      <c r="F26" s="7" t="str">
        <f aca="false">INDEX(Billing_Export!$B$2:$B$221,MATCH(A26,Billing_Export!$A$2:$A$221,0))</f>
        <v>Commercial - Aetna</v>
      </c>
      <c r="G26" s="14" t="n">
        <f aca="false">INDEX(Billing_Export!$C$2:$C$221,MATCH(A26,Billing_Export!$A$2:$A$221,0))</f>
        <v>55.16</v>
      </c>
      <c r="H26" s="14" t="n">
        <f aca="false">INDEX(Billing_Export!$D$2:$D$221,MATCH(A26,Billing_Export!$A$2:$A$221,0))</f>
        <v>44.35</v>
      </c>
      <c r="I26" s="7" t="str">
        <f aca="false">INDEX(Billing_Export!$E$2:$E$221,MATCH(A26,Billing_Export!$A$2:$A$221,0))</f>
        <v>Paid</v>
      </c>
      <c r="J26" s="7" t="str">
        <f aca="false">INDEX(Billing_Export!$F$2:$F$221,MATCH(A26,Billing_Export!$A$2:$A$221,0))</f>
        <v>None</v>
      </c>
    </row>
    <row r="27" customFormat="false" ht="15" hidden="false" customHeight="false" outlineLevel="0" collapsed="false">
      <c r="A27" s="12" t="n">
        <f aca="false">EHR_Export!A24</f>
        <v>100023</v>
      </c>
      <c r="B27" s="12" t="str">
        <f aca="false">EHR_Export!B24</f>
        <v>Dr. B. Chen</v>
      </c>
      <c r="C27" s="12" t="str">
        <f aca="false">EHR_Export!C24</f>
        <v>Nephrology</v>
      </c>
      <c r="D27" s="12" t="str">
        <f aca="false">EHR_Export!D24</f>
        <v>2025-03-09</v>
      </c>
      <c r="E27" s="12" t="str">
        <f aca="false">EHR_Export!E24</f>
        <v>90935</v>
      </c>
      <c r="F27" s="7" t="str">
        <f aca="false">INDEX(Billing_Export!$B$2:$B$221,MATCH(A27,Billing_Export!$A$2:$A$221,0))</f>
        <v>Medicare</v>
      </c>
      <c r="G27" s="14" t="n">
        <f aca="false">INDEX(Billing_Export!$C$2:$C$221,MATCH(A27,Billing_Export!$A$2:$A$221,0))</f>
        <v>171.37</v>
      </c>
      <c r="H27" s="14" t="n">
        <f aca="false">INDEX(Billing_Export!$D$2:$D$221,MATCH(A27,Billing_Export!$A$2:$A$221,0))</f>
        <v>107.71</v>
      </c>
      <c r="I27" s="7" t="str">
        <f aca="false">INDEX(Billing_Export!$E$2:$E$221,MATCH(A27,Billing_Export!$A$2:$A$221,0))</f>
        <v>Paid</v>
      </c>
      <c r="J27" s="7" t="str">
        <f aca="false">INDEX(Billing_Export!$F$2:$F$221,MATCH(A27,Billing_Export!$A$2:$A$221,0))</f>
        <v>None</v>
      </c>
    </row>
    <row r="28" customFormat="false" ht="15" hidden="false" customHeight="false" outlineLevel="0" collapsed="false">
      <c r="A28" s="12" t="n">
        <f aca="false">EHR_Export!A25</f>
        <v>100024</v>
      </c>
      <c r="B28" s="12" t="str">
        <f aca="false">EHR_Export!B25</f>
        <v>Dr. H. Thompson</v>
      </c>
      <c r="C28" s="12" t="str">
        <f aca="false">EHR_Export!C25</f>
        <v>Family Medicine</v>
      </c>
      <c r="D28" s="12" t="str">
        <f aca="false">EHR_Export!D25</f>
        <v>2025-08-05</v>
      </c>
      <c r="E28" s="12" t="str">
        <f aca="false">EHR_Export!E25</f>
        <v>80053</v>
      </c>
      <c r="F28" s="7" t="str">
        <f aca="false">INDEX(Billing_Export!$B$2:$B$221,MATCH(A28,Billing_Export!$A$2:$A$221,0))</f>
        <v>Medicaid</v>
      </c>
      <c r="G28" s="14" t="n">
        <f aca="false">INDEX(Billing_Export!$C$2:$C$221,MATCH(A28,Billing_Export!$A$2:$A$221,0))</f>
        <v>21.19</v>
      </c>
      <c r="H28" s="14" t="n">
        <f aca="false">INDEX(Billing_Export!$D$2:$D$221,MATCH(A28,Billing_Export!$A$2:$A$221,0))</f>
        <v>13.94</v>
      </c>
      <c r="I28" s="7" t="str">
        <f aca="false">INDEX(Billing_Export!$E$2:$E$221,MATCH(A28,Billing_Export!$A$2:$A$221,0))</f>
        <v>Paid</v>
      </c>
      <c r="J28" s="7" t="str">
        <f aca="false">INDEX(Billing_Export!$F$2:$F$221,MATCH(A28,Billing_Export!$A$2:$A$221,0))</f>
        <v>None</v>
      </c>
    </row>
    <row r="29" customFormat="false" ht="15" hidden="false" customHeight="false" outlineLevel="0" collapsed="false">
      <c r="A29" s="12" t="n">
        <f aca="false">EHR_Export!A26</f>
        <v>100025</v>
      </c>
      <c r="B29" s="12" t="str">
        <f aca="false">EHR_Export!B26</f>
        <v>Dr. G. Kim</v>
      </c>
      <c r="C29" s="12" t="str">
        <f aca="false">EHR_Export!C26</f>
        <v>Endocrinology</v>
      </c>
      <c r="D29" s="12" t="str">
        <f aca="false">EHR_Export!D26</f>
        <v>2025-02-20</v>
      </c>
      <c r="E29" s="12" t="str">
        <f aca="false">EHR_Export!E26</f>
        <v>99213</v>
      </c>
      <c r="F29" s="7" t="str">
        <f aca="false">INDEX(Billing_Export!$B$2:$B$221,MATCH(A29,Billing_Export!$A$2:$A$221,0))</f>
        <v>Commercial - Blue Shield</v>
      </c>
      <c r="G29" s="14" t="n">
        <f aca="false">INDEX(Billing_Export!$C$2:$C$221,MATCH(A29,Billing_Export!$A$2:$A$221,0))</f>
        <v>171.46</v>
      </c>
      <c r="H29" s="14" t="n">
        <f aca="false">INDEX(Billing_Export!$D$2:$D$221,MATCH(A29,Billing_Export!$A$2:$A$221,0))</f>
        <v>0</v>
      </c>
      <c r="I29" s="7" t="str">
        <f aca="false">INDEX(Billing_Export!$E$2:$E$221,MATCH(A29,Billing_Export!$A$2:$A$221,0))</f>
        <v>Pending</v>
      </c>
      <c r="J29" s="7" t="str">
        <f aca="false">INDEX(Billing_Export!$F$2:$F$221,MATCH(A29,Billing_Export!$A$2:$A$221,0))</f>
        <v>None</v>
      </c>
    </row>
    <row r="30" customFormat="false" ht="15" hidden="false" customHeight="false" outlineLevel="0" collapsed="false">
      <c r="A30" s="12" t="n">
        <f aca="false">EHR_Export!A27</f>
        <v>100026</v>
      </c>
      <c r="B30" s="12" t="str">
        <f aca="false">EHR_Export!B27</f>
        <v>Dr. A. Reyes</v>
      </c>
      <c r="C30" s="12" t="str">
        <f aca="false">EHR_Export!C27</f>
        <v>Nephrology</v>
      </c>
      <c r="D30" s="12" t="str">
        <f aca="false">EHR_Export!D27</f>
        <v>2025-03-13</v>
      </c>
      <c r="E30" s="12" t="str">
        <f aca="false">EHR_Export!E27</f>
        <v>90935</v>
      </c>
      <c r="F30" s="7" t="str">
        <f aca="false">INDEX(Billing_Export!$B$2:$B$221,MATCH(A30,Billing_Export!$A$2:$A$221,0))</f>
        <v>Commercial - Blue Shield</v>
      </c>
      <c r="G30" s="14" t="n">
        <f aca="false">INDEX(Billing_Export!$C$2:$C$221,MATCH(A30,Billing_Export!$A$2:$A$221,0))</f>
        <v>282.42</v>
      </c>
      <c r="H30" s="14" t="n">
        <f aca="false">INDEX(Billing_Export!$D$2:$D$221,MATCH(A30,Billing_Export!$A$2:$A$221,0))</f>
        <v>187.41</v>
      </c>
      <c r="I30" s="7" t="str">
        <f aca="false">INDEX(Billing_Export!$E$2:$E$221,MATCH(A30,Billing_Export!$A$2:$A$221,0))</f>
        <v>Paid</v>
      </c>
      <c r="J30" s="7" t="str">
        <f aca="false">INDEX(Billing_Export!$F$2:$F$221,MATCH(A30,Billing_Export!$A$2:$A$221,0))</f>
        <v>None</v>
      </c>
    </row>
    <row r="31" customFormat="false" ht="15" hidden="false" customHeight="false" outlineLevel="0" collapsed="false">
      <c r="A31" s="12" t="n">
        <f aca="false">EHR_Export!A28</f>
        <v>100027</v>
      </c>
      <c r="B31" s="12" t="str">
        <f aca="false">EHR_Export!B28</f>
        <v>Dr. G. Kim</v>
      </c>
      <c r="C31" s="12" t="str">
        <f aca="false">EHR_Export!C28</f>
        <v>Endocrinology</v>
      </c>
      <c r="D31" s="12" t="str">
        <f aca="false">EHR_Export!D28</f>
        <v>2025-02-20</v>
      </c>
      <c r="E31" s="12" t="str">
        <f aca="false">EHR_Export!E28</f>
        <v>99204</v>
      </c>
      <c r="F31" s="7" t="str">
        <f aca="false">INDEX(Billing_Export!$B$2:$B$221,MATCH(A31,Billing_Export!$A$2:$A$221,0))</f>
        <v>Medicaid</v>
      </c>
      <c r="G31" s="14" t="n">
        <f aca="false">INDEX(Billing_Export!$C$2:$C$221,MATCH(A31,Billing_Export!$A$2:$A$221,0))</f>
        <v>160.27</v>
      </c>
      <c r="H31" s="14" t="n">
        <f aca="false">INDEX(Billing_Export!$D$2:$D$221,MATCH(A31,Billing_Export!$A$2:$A$221,0))</f>
        <v>120.18</v>
      </c>
      <c r="I31" s="7" t="str">
        <f aca="false">INDEX(Billing_Export!$E$2:$E$221,MATCH(A31,Billing_Export!$A$2:$A$221,0))</f>
        <v>Paid</v>
      </c>
      <c r="J31" s="7" t="str">
        <f aca="false">INDEX(Billing_Export!$F$2:$F$221,MATCH(A31,Billing_Export!$A$2:$A$221,0))</f>
        <v>None</v>
      </c>
    </row>
    <row r="32" customFormat="false" ht="15" hidden="false" customHeight="false" outlineLevel="0" collapsed="false">
      <c r="A32" s="12" t="n">
        <f aca="false">EHR_Export!A29</f>
        <v>100028</v>
      </c>
      <c r="B32" s="12" t="str">
        <f aca="false">EHR_Export!B29</f>
        <v>Dr. A. Reyes</v>
      </c>
      <c r="C32" s="12" t="str">
        <f aca="false">EHR_Export!C29</f>
        <v>Nephrology</v>
      </c>
      <c r="D32" s="12" t="str">
        <f aca="false">EHR_Export!D29</f>
        <v>2025-03-27</v>
      </c>
      <c r="E32" s="12" t="str">
        <f aca="false">EHR_Export!E29</f>
        <v>99213</v>
      </c>
      <c r="F32" s="7" t="str">
        <f aca="false">INDEX(Billing_Export!$B$2:$B$221,MATCH(A32,Billing_Export!$A$2:$A$221,0))</f>
        <v>Commercial - Aetna</v>
      </c>
      <c r="G32" s="14" t="n">
        <f aca="false">INDEX(Billing_Export!$C$2:$C$221,MATCH(A32,Billing_Export!$A$2:$A$221,0))</f>
        <v>187.15</v>
      </c>
      <c r="H32" s="14" t="n">
        <f aca="false">INDEX(Billing_Export!$D$2:$D$221,MATCH(A32,Billing_Export!$A$2:$A$221,0))</f>
        <v>0</v>
      </c>
      <c r="I32" s="7" t="str">
        <f aca="false">INDEX(Billing_Export!$E$2:$E$221,MATCH(A32,Billing_Export!$A$2:$A$221,0))</f>
        <v>Denied</v>
      </c>
      <c r="J32" s="7" t="str">
        <f aca="false">INDEX(Billing_Export!$F$2:$F$221,MATCH(A32,Billing_Export!$A$2:$A$221,0))</f>
        <v>Coding Error</v>
      </c>
    </row>
    <row r="33" customFormat="false" ht="15" hidden="false" customHeight="false" outlineLevel="0" collapsed="false">
      <c r="A33" s="12" t="n">
        <f aca="false">EHR_Export!A30</f>
        <v>100029</v>
      </c>
      <c r="B33" s="12" t="str">
        <f aca="false">EHR_Export!B30</f>
        <v>Dr. G. Kim</v>
      </c>
      <c r="C33" s="12" t="str">
        <f aca="false">EHR_Export!C30</f>
        <v>Endocrinology</v>
      </c>
      <c r="D33" s="12" t="str">
        <f aca="false">EHR_Export!D30</f>
        <v>2025-07-19</v>
      </c>
      <c r="E33" s="12" t="str">
        <f aca="false">EHR_Export!E30</f>
        <v>80053</v>
      </c>
      <c r="F33" s="7" t="str">
        <f aca="false">INDEX(Billing_Export!$B$2:$B$221,MATCH(A33,Billing_Export!$A$2:$A$221,0))</f>
        <v>Commercial - Blue Shield</v>
      </c>
      <c r="G33" s="14" t="n">
        <f aca="false">INDEX(Billing_Export!$C$2:$C$221,MATCH(A33,Billing_Export!$A$2:$A$221,0))</f>
        <v>33.65</v>
      </c>
      <c r="H33" s="14" t="n">
        <f aca="false">INDEX(Billing_Export!$D$2:$D$221,MATCH(A33,Billing_Export!$A$2:$A$221,0))</f>
        <v>26.8</v>
      </c>
      <c r="I33" s="7" t="str">
        <f aca="false">INDEX(Billing_Export!$E$2:$E$221,MATCH(A33,Billing_Export!$A$2:$A$221,0))</f>
        <v>Paid</v>
      </c>
      <c r="J33" s="7" t="str">
        <f aca="false">INDEX(Billing_Export!$F$2:$F$221,MATCH(A33,Billing_Export!$A$2:$A$221,0))</f>
        <v>None</v>
      </c>
    </row>
    <row r="34" customFormat="false" ht="15" hidden="false" customHeight="false" outlineLevel="0" collapsed="false">
      <c r="A34" s="12" t="n">
        <f aca="false">EHR_Export!A31</f>
        <v>100030</v>
      </c>
      <c r="B34" s="12" t="str">
        <f aca="false">EHR_Export!B31</f>
        <v>Dr. E. Patel</v>
      </c>
      <c r="C34" s="12" t="str">
        <f aca="false">EHR_Export!C31</f>
        <v>Internal Medicine</v>
      </c>
      <c r="D34" s="12" t="str">
        <f aca="false">EHR_Export!D31</f>
        <v>2025-09-07</v>
      </c>
      <c r="E34" s="12" t="str">
        <f aca="false">EHR_Export!E31</f>
        <v>99204</v>
      </c>
      <c r="F34" s="7" t="str">
        <f aca="false">INDEX(Billing_Export!$B$2:$B$221,MATCH(A34,Billing_Export!$A$2:$A$221,0))</f>
        <v>Commercial - Blue Shield</v>
      </c>
      <c r="G34" s="14" t="n">
        <f aca="false">INDEX(Billing_Export!$C$2:$C$221,MATCH(A34,Billing_Export!$A$2:$A$221,0))</f>
        <v>308.28</v>
      </c>
      <c r="H34" s="14" t="n">
        <f aca="false">INDEX(Billing_Export!$D$2:$D$221,MATCH(A34,Billing_Export!$A$2:$A$221,0))</f>
        <v>0</v>
      </c>
      <c r="I34" s="7" t="str">
        <f aca="false">INDEX(Billing_Export!$E$2:$E$221,MATCH(A34,Billing_Export!$A$2:$A$221,0))</f>
        <v>Denied</v>
      </c>
      <c r="J34" s="7" t="str">
        <f aca="false">INDEX(Billing_Export!$F$2:$F$221,MATCH(A34,Billing_Export!$A$2:$A$221,0))</f>
        <v>Duplicate Claim</v>
      </c>
    </row>
    <row r="35" customFormat="false" ht="15" hidden="false" customHeight="false" outlineLevel="0" collapsed="false">
      <c r="A35" s="12" t="n">
        <f aca="false">EHR_Export!A32</f>
        <v>100031</v>
      </c>
      <c r="B35" s="12" t="str">
        <f aca="false">EHR_Export!B32</f>
        <v>Dr. C. Okafor</v>
      </c>
      <c r="C35" s="12" t="str">
        <f aca="false">EHR_Export!C32</f>
        <v>Cardiology</v>
      </c>
      <c r="D35" s="12" t="str">
        <f aca="false">EHR_Export!D32</f>
        <v>2025-06-10</v>
      </c>
      <c r="E35" s="12" t="str">
        <f aca="false">EHR_Export!E32</f>
        <v>99204</v>
      </c>
      <c r="F35" s="7" t="str">
        <f aca="false">INDEX(Billing_Export!$B$2:$B$221,MATCH(A35,Billing_Export!$A$2:$A$221,0))</f>
        <v>Medicaid</v>
      </c>
      <c r="G35" s="14" t="n">
        <f aca="false">INDEX(Billing_Export!$C$2:$C$221,MATCH(A35,Billing_Export!$A$2:$A$221,0))</f>
        <v>147.26</v>
      </c>
      <c r="H35" s="14" t="n">
        <f aca="false">INDEX(Billing_Export!$D$2:$D$221,MATCH(A35,Billing_Export!$A$2:$A$221,0))</f>
        <v>84.04</v>
      </c>
      <c r="I35" s="7" t="str">
        <f aca="false">INDEX(Billing_Export!$E$2:$E$221,MATCH(A35,Billing_Export!$A$2:$A$221,0))</f>
        <v>Paid</v>
      </c>
      <c r="J35" s="7" t="str">
        <f aca="false">INDEX(Billing_Export!$F$2:$F$221,MATCH(A35,Billing_Export!$A$2:$A$221,0))</f>
        <v>None</v>
      </c>
    </row>
    <row r="36" customFormat="false" ht="15" hidden="false" customHeight="false" outlineLevel="0" collapsed="false">
      <c r="A36" s="12" t="n">
        <f aca="false">EHR_Export!A33</f>
        <v>100032</v>
      </c>
      <c r="B36" s="12" t="str">
        <f aca="false">EHR_Export!B33</f>
        <v>Dr. A. Reyes</v>
      </c>
      <c r="C36" s="12" t="str">
        <f aca="false">EHR_Export!C33</f>
        <v>Nephrology</v>
      </c>
      <c r="D36" s="12" t="str">
        <f aca="false">EHR_Export!D33</f>
        <v>2025-09-18</v>
      </c>
      <c r="E36" s="12" t="str">
        <f aca="false">EHR_Export!E33</f>
        <v>71046</v>
      </c>
      <c r="F36" s="7" t="str">
        <f aca="false">INDEX(Billing_Export!$B$2:$B$221,MATCH(A36,Billing_Export!$A$2:$A$221,0))</f>
        <v>Medicare</v>
      </c>
      <c r="G36" s="14" t="n">
        <f aca="false">INDEX(Billing_Export!$C$2:$C$221,MATCH(A36,Billing_Export!$A$2:$A$221,0))</f>
        <v>65.5</v>
      </c>
      <c r="H36" s="14" t="n">
        <f aca="false">INDEX(Billing_Export!$D$2:$D$221,MATCH(A36,Billing_Export!$A$2:$A$221,0))</f>
        <v>46.72</v>
      </c>
      <c r="I36" s="7" t="str">
        <f aca="false">INDEX(Billing_Export!$E$2:$E$221,MATCH(A36,Billing_Export!$A$2:$A$221,0))</f>
        <v>Paid</v>
      </c>
      <c r="J36" s="7" t="str">
        <f aca="false">INDEX(Billing_Export!$F$2:$F$221,MATCH(A36,Billing_Export!$A$2:$A$221,0))</f>
        <v>None</v>
      </c>
    </row>
    <row r="37" customFormat="false" ht="15" hidden="false" customHeight="false" outlineLevel="0" collapsed="false">
      <c r="A37" s="12" t="n">
        <f aca="false">EHR_Export!A34</f>
        <v>100033</v>
      </c>
      <c r="B37" s="12" t="str">
        <f aca="false">EHR_Export!B34</f>
        <v>Dr. B. Chen</v>
      </c>
      <c r="C37" s="12" t="str">
        <f aca="false">EHR_Export!C34</f>
        <v>Nephrology</v>
      </c>
      <c r="D37" s="12" t="str">
        <f aca="false">EHR_Export!D34</f>
        <v>2025-05-07</v>
      </c>
      <c r="E37" s="12" t="str">
        <f aca="false">EHR_Export!E34</f>
        <v>99214</v>
      </c>
      <c r="F37" s="7" t="str">
        <f aca="false">INDEX(Billing_Export!$B$2:$B$221,MATCH(A37,Billing_Export!$A$2:$A$221,0))</f>
        <v>Medicaid</v>
      </c>
      <c r="G37" s="14" t="n">
        <f aca="false">INDEX(Billing_Export!$C$2:$C$221,MATCH(A37,Billing_Export!$A$2:$A$221,0))</f>
        <v>119.09</v>
      </c>
      <c r="H37" s="14" t="n">
        <f aca="false">INDEX(Billing_Export!$D$2:$D$221,MATCH(A37,Billing_Export!$A$2:$A$221,0))</f>
        <v>82.08</v>
      </c>
      <c r="I37" s="7" t="str">
        <f aca="false">INDEX(Billing_Export!$E$2:$E$221,MATCH(A37,Billing_Export!$A$2:$A$221,0))</f>
        <v>Paid</v>
      </c>
      <c r="J37" s="7" t="str">
        <f aca="false">INDEX(Billing_Export!$F$2:$F$221,MATCH(A37,Billing_Export!$A$2:$A$221,0))</f>
        <v>None</v>
      </c>
    </row>
    <row r="38" customFormat="false" ht="15" hidden="false" customHeight="false" outlineLevel="0" collapsed="false">
      <c r="A38" s="12" t="n">
        <f aca="false">EHR_Export!A35</f>
        <v>100034</v>
      </c>
      <c r="B38" s="12" t="str">
        <f aca="false">EHR_Export!B35</f>
        <v>Dr. A. Reyes</v>
      </c>
      <c r="C38" s="12" t="str">
        <f aca="false">EHR_Export!C35</f>
        <v>Nephrology</v>
      </c>
      <c r="D38" s="12" t="str">
        <f aca="false">EHR_Export!D35</f>
        <v>2025-04-15</v>
      </c>
      <c r="E38" s="12" t="str">
        <f aca="false">EHR_Export!E35</f>
        <v>99214</v>
      </c>
      <c r="F38" s="7" t="str">
        <f aca="false">INDEX(Billing_Export!$B$2:$B$221,MATCH(A38,Billing_Export!$A$2:$A$221,0))</f>
        <v>Commercial - Aetna</v>
      </c>
      <c r="G38" s="14" t="n">
        <f aca="false">INDEX(Billing_Export!$C$2:$C$221,MATCH(A38,Billing_Export!$A$2:$A$221,0))</f>
        <v>220.88</v>
      </c>
      <c r="H38" s="14" t="n">
        <f aca="false">INDEX(Billing_Export!$D$2:$D$221,MATCH(A38,Billing_Export!$A$2:$A$221,0))</f>
        <v>169.3</v>
      </c>
      <c r="I38" s="7" t="str">
        <f aca="false">INDEX(Billing_Export!$E$2:$E$221,MATCH(A38,Billing_Export!$A$2:$A$221,0))</f>
        <v>Paid</v>
      </c>
      <c r="J38" s="7" t="str">
        <f aca="false">INDEX(Billing_Export!$F$2:$F$221,MATCH(A38,Billing_Export!$A$2:$A$221,0))</f>
        <v>None</v>
      </c>
    </row>
    <row r="39" customFormat="false" ht="15" hidden="false" customHeight="false" outlineLevel="0" collapsed="false">
      <c r="A39" s="12" t="n">
        <f aca="false">EHR_Export!A36</f>
        <v>100035</v>
      </c>
      <c r="B39" s="12" t="str">
        <f aca="false">EHR_Export!B36</f>
        <v>Dr. F. Martinez</v>
      </c>
      <c r="C39" s="12" t="str">
        <f aca="false">EHR_Export!C36</f>
        <v>Internal Medicine</v>
      </c>
      <c r="D39" s="12" t="str">
        <f aca="false">EHR_Export!D36</f>
        <v>2025-02-07</v>
      </c>
      <c r="E39" s="12" t="str">
        <f aca="false">EHR_Export!E36</f>
        <v>99204</v>
      </c>
      <c r="F39" s="7" t="str">
        <f aca="false">INDEX(Billing_Export!$B$2:$B$221,MATCH(A39,Billing_Export!$A$2:$A$221,0))</f>
        <v>Medicaid</v>
      </c>
      <c r="G39" s="14" t="n">
        <f aca="false">INDEX(Billing_Export!$C$2:$C$221,MATCH(A39,Billing_Export!$A$2:$A$221,0))</f>
        <v>156.72</v>
      </c>
      <c r="H39" s="14" t="n">
        <f aca="false">INDEX(Billing_Export!$D$2:$D$221,MATCH(A39,Billing_Export!$A$2:$A$221,0))</f>
        <v>116.7</v>
      </c>
      <c r="I39" s="7" t="str">
        <f aca="false">INDEX(Billing_Export!$E$2:$E$221,MATCH(A39,Billing_Export!$A$2:$A$221,0))</f>
        <v>Paid</v>
      </c>
      <c r="J39" s="7" t="str">
        <f aca="false">INDEX(Billing_Export!$F$2:$F$221,MATCH(A39,Billing_Export!$A$2:$A$221,0))</f>
        <v>None</v>
      </c>
    </row>
    <row r="40" customFormat="false" ht="15" hidden="false" customHeight="false" outlineLevel="0" collapsed="false">
      <c r="A40" s="12" t="n">
        <f aca="false">EHR_Export!A37</f>
        <v>100036</v>
      </c>
      <c r="B40" s="12" t="str">
        <f aca="false">EHR_Export!B37</f>
        <v>Dr. A. Reyes</v>
      </c>
      <c r="C40" s="12" t="str">
        <f aca="false">EHR_Export!C37</f>
        <v>Nephrology</v>
      </c>
      <c r="D40" s="12" t="str">
        <f aca="false">EHR_Export!D37</f>
        <v>2025-02-07</v>
      </c>
      <c r="E40" s="12" t="str">
        <f aca="false">EHR_Export!E37</f>
        <v>71046</v>
      </c>
      <c r="F40" s="7" t="str">
        <f aca="false">INDEX(Billing_Export!$B$2:$B$221,MATCH(A40,Billing_Export!$A$2:$A$221,0))</f>
        <v>Commercial - Blue Shield</v>
      </c>
      <c r="G40" s="14" t="n">
        <f aca="false">INDEX(Billing_Export!$C$2:$C$221,MATCH(A40,Billing_Export!$A$2:$A$221,0))</f>
        <v>99.16</v>
      </c>
      <c r="H40" s="14" t="n">
        <f aca="false">INDEX(Billing_Export!$D$2:$D$221,MATCH(A40,Billing_Export!$A$2:$A$221,0))</f>
        <v>0</v>
      </c>
      <c r="I40" s="7" t="str">
        <f aca="false">INDEX(Billing_Export!$E$2:$E$221,MATCH(A40,Billing_Export!$A$2:$A$221,0))</f>
        <v>Pending</v>
      </c>
      <c r="J40" s="7" t="str">
        <f aca="false">INDEX(Billing_Export!$F$2:$F$221,MATCH(A40,Billing_Export!$A$2:$A$221,0))</f>
        <v>None</v>
      </c>
    </row>
    <row r="41" customFormat="false" ht="15" hidden="false" customHeight="false" outlineLevel="0" collapsed="false">
      <c r="A41" s="12" t="n">
        <f aca="false">EHR_Export!A38</f>
        <v>100037</v>
      </c>
      <c r="B41" s="12" t="str">
        <f aca="false">EHR_Export!B38</f>
        <v>Dr. D. Nguyen</v>
      </c>
      <c r="C41" s="12" t="str">
        <f aca="false">EHR_Export!C38</f>
        <v>Cardiology</v>
      </c>
      <c r="D41" s="12" t="str">
        <f aca="false">EHR_Export!D38</f>
        <v>2025-05-26</v>
      </c>
      <c r="E41" s="12" t="str">
        <f aca="false">EHR_Export!E38</f>
        <v>99204</v>
      </c>
      <c r="F41" s="7" t="str">
        <f aca="false">INDEX(Billing_Export!$B$2:$B$221,MATCH(A41,Billing_Export!$A$2:$A$221,0))</f>
        <v>Commercial - Aetna</v>
      </c>
      <c r="G41" s="14" t="n">
        <f aca="false">INDEX(Billing_Export!$C$2:$C$221,MATCH(A41,Billing_Export!$A$2:$A$221,0))</f>
        <v>278.21</v>
      </c>
      <c r="H41" s="14" t="n">
        <f aca="false">INDEX(Billing_Export!$D$2:$D$221,MATCH(A41,Billing_Export!$A$2:$A$221,0))</f>
        <v>226.47</v>
      </c>
      <c r="I41" s="7" t="str">
        <f aca="false">INDEX(Billing_Export!$E$2:$E$221,MATCH(A41,Billing_Export!$A$2:$A$221,0))</f>
        <v>Paid</v>
      </c>
      <c r="J41" s="7" t="str">
        <f aca="false">INDEX(Billing_Export!$F$2:$F$221,MATCH(A41,Billing_Export!$A$2:$A$221,0))</f>
        <v>None</v>
      </c>
    </row>
    <row r="42" customFormat="false" ht="15" hidden="false" customHeight="false" outlineLevel="0" collapsed="false">
      <c r="A42" s="12" t="n">
        <f aca="false">EHR_Export!A39</f>
        <v>100038</v>
      </c>
      <c r="B42" s="12" t="str">
        <f aca="false">EHR_Export!B39</f>
        <v>Dr. C. Okafor</v>
      </c>
      <c r="C42" s="12" t="str">
        <f aca="false">EHR_Export!C39</f>
        <v>Cardiology</v>
      </c>
      <c r="D42" s="12" t="str">
        <f aca="false">EHR_Export!D39</f>
        <v>2025-01-05</v>
      </c>
      <c r="E42" s="12" t="str">
        <f aca="false">EHR_Export!E39</f>
        <v>93000</v>
      </c>
      <c r="F42" s="7" t="str">
        <f aca="false">INDEX(Billing_Export!$B$2:$B$221,MATCH(A42,Billing_Export!$A$2:$A$221,0))</f>
        <v>Commercial - Blue Shield</v>
      </c>
      <c r="G42" s="14" t="n">
        <f aca="false">INDEX(Billing_Export!$C$2:$C$221,MATCH(A42,Billing_Export!$A$2:$A$221,0))</f>
        <v>64.53</v>
      </c>
      <c r="H42" s="14" t="n">
        <f aca="false">INDEX(Billing_Export!$D$2:$D$221,MATCH(A42,Billing_Export!$A$2:$A$221,0))</f>
        <v>50.52</v>
      </c>
      <c r="I42" s="7" t="str">
        <f aca="false">INDEX(Billing_Export!$E$2:$E$221,MATCH(A42,Billing_Export!$A$2:$A$221,0))</f>
        <v>Paid</v>
      </c>
      <c r="J42" s="7" t="str">
        <f aca="false">INDEX(Billing_Export!$F$2:$F$221,MATCH(A42,Billing_Export!$A$2:$A$221,0))</f>
        <v>None</v>
      </c>
    </row>
    <row r="43" customFormat="false" ht="15" hidden="false" customHeight="false" outlineLevel="0" collapsed="false">
      <c r="A43" s="12" t="n">
        <f aca="false">EHR_Export!A40</f>
        <v>100039</v>
      </c>
      <c r="B43" s="12" t="str">
        <f aca="false">EHR_Export!B40</f>
        <v>Dr. E. Patel</v>
      </c>
      <c r="C43" s="12" t="str">
        <f aca="false">EHR_Export!C40</f>
        <v>Internal Medicine</v>
      </c>
      <c r="D43" s="12" t="str">
        <f aca="false">EHR_Export!D40</f>
        <v>2025-05-25</v>
      </c>
      <c r="E43" s="12" t="str">
        <f aca="false">EHR_Export!E40</f>
        <v>99215</v>
      </c>
      <c r="F43" s="7" t="str">
        <f aca="false">INDEX(Billing_Export!$B$2:$B$221,MATCH(A43,Billing_Export!$A$2:$A$221,0))</f>
        <v>Medicare</v>
      </c>
      <c r="G43" s="14" t="n">
        <f aca="false">INDEX(Billing_Export!$C$2:$C$221,MATCH(A43,Billing_Export!$A$2:$A$221,0))</f>
        <v>232.23</v>
      </c>
      <c r="H43" s="14" t="n">
        <f aca="false">INDEX(Billing_Export!$D$2:$D$221,MATCH(A43,Billing_Export!$A$2:$A$221,0))</f>
        <v>133.79</v>
      </c>
      <c r="I43" s="7" t="str">
        <f aca="false">INDEX(Billing_Export!$E$2:$E$221,MATCH(A43,Billing_Export!$A$2:$A$221,0))</f>
        <v>Paid</v>
      </c>
      <c r="J43" s="7" t="str">
        <f aca="false">INDEX(Billing_Export!$F$2:$F$221,MATCH(A43,Billing_Export!$A$2:$A$221,0))</f>
        <v>None</v>
      </c>
    </row>
    <row r="44" customFormat="false" ht="15" hidden="false" customHeight="false" outlineLevel="0" collapsed="false">
      <c r="A44" s="12" t="n">
        <f aca="false">EHR_Export!A41</f>
        <v>100040</v>
      </c>
      <c r="B44" s="12" t="str">
        <f aca="false">EHR_Export!B41</f>
        <v>Dr. D. Nguyen</v>
      </c>
      <c r="C44" s="12" t="str">
        <f aca="false">EHR_Export!C41</f>
        <v>Cardiology</v>
      </c>
      <c r="D44" s="12" t="str">
        <f aca="false">EHR_Export!D41</f>
        <v>2025-01-27</v>
      </c>
      <c r="E44" s="12" t="str">
        <f aca="false">EHR_Export!E41</f>
        <v>99203</v>
      </c>
      <c r="F44" s="7" t="str">
        <f aca="false">INDEX(Billing_Export!$B$2:$B$221,MATCH(A44,Billing_Export!$A$2:$A$221,0))</f>
        <v>Kaiser HMO</v>
      </c>
      <c r="G44" s="14" t="n">
        <f aca="false">INDEX(Billing_Export!$C$2:$C$221,MATCH(A44,Billing_Export!$A$2:$A$221,0))</f>
        <v>175.12</v>
      </c>
      <c r="H44" s="14" t="n">
        <f aca="false">INDEX(Billing_Export!$D$2:$D$221,MATCH(A44,Billing_Export!$A$2:$A$221,0))</f>
        <v>118.21</v>
      </c>
      <c r="I44" s="7" t="str">
        <f aca="false">INDEX(Billing_Export!$E$2:$E$221,MATCH(A44,Billing_Export!$A$2:$A$221,0))</f>
        <v>Paid</v>
      </c>
      <c r="J44" s="7" t="str">
        <f aca="false">INDEX(Billing_Export!$F$2:$F$221,MATCH(A44,Billing_Export!$A$2:$A$221,0))</f>
        <v>None</v>
      </c>
    </row>
    <row r="45" customFormat="false" ht="15" hidden="false" customHeight="false" outlineLevel="0" collapsed="false">
      <c r="A45" s="12" t="n">
        <f aca="false">EHR_Export!A42</f>
        <v>100041</v>
      </c>
      <c r="B45" s="12" t="str">
        <f aca="false">EHR_Export!B42</f>
        <v>Dr. B. Chen</v>
      </c>
      <c r="C45" s="12" t="str">
        <f aca="false">EHR_Export!C42</f>
        <v>Nephrology</v>
      </c>
      <c r="D45" s="12" t="str">
        <f aca="false">EHR_Export!D42</f>
        <v>2025-03-24</v>
      </c>
      <c r="E45" s="12" t="str">
        <f aca="false">EHR_Export!E42</f>
        <v>99204</v>
      </c>
      <c r="F45" s="7" t="str">
        <f aca="false">INDEX(Billing_Export!$B$2:$B$221,MATCH(A45,Billing_Export!$A$2:$A$221,0))</f>
        <v>Commercial - Blue Shield</v>
      </c>
      <c r="G45" s="14" t="n">
        <f aca="false">INDEX(Billing_Export!$C$2:$C$221,MATCH(A45,Billing_Export!$A$2:$A$221,0))</f>
        <v>269.06</v>
      </c>
      <c r="H45" s="14" t="n">
        <f aca="false">INDEX(Billing_Export!$D$2:$D$221,MATCH(A45,Billing_Export!$A$2:$A$221,0))</f>
        <v>236.62</v>
      </c>
      <c r="I45" s="7" t="str">
        <f aca="false">INDEX(Billing_Export!$E$2:$E$221,MATCH(A45,Billing_Export!$A$2:$A$221,0))</f>
        <v>Paid</v>
      </c>
      <c r="J45" s="7" t="str">
        <f aca="false">INDEX(Billing_Export!$F$2:$F$221,MATCH(A45,Billing_Export!$A$2:$A$221,0))</f>
        <v>None</v>
      </c>
    </row>
    <row r="46" customFormat="false" ht="15" hidden="false" customHeight="false" outlineLevel="0" collapsed="false">
      <c r="A46" s="12" t="n">
        <f aca="false">EHR_Export!A43</f>
        <v>100042</v>
      </c>
      <c r="B46" s="12" t="str">
        <f aca="false">EHR_Export!B43</f>
        <v>Dr. H. Thompson</v>
      </c>
      <c r="C46" s="12" t="str">
        <f aca="false">EHR_Export!C43</f>
        <v>Family Medicine</v>
      </c>
      <c r="D46" s="12" t="str">
        <f aca="false">EHR_Export!D43</f>
        <v>2025-03-18</v>
      </c>
      <c r="E46" s="12" t="str">
        <f aca="false">EHR_Export!E43</f>
        <v>36415</v>
      </c>
      <c r="F46" s="7" t="str">
        <f aca="false">INDEX(Billing_Export!$B$2:$B$221,MATCH(A46,Billing_Export!$A$2:$A$221,0))</f>
        <v>Commercial - Aetna</v>
      </c>
      <c r="G46" s="14" t="n">
        <f aca="false">INDEX(Billing_Export!$C$2:$C$221,MATCH(A46,Billing_Export!$A$2:$A$221,0))</f>
        <v>22.44</v>
      </c>
      <c r="H46" s="14" t="n">
        <f aca="false">INDEX(Billing_Export!$D$2:$D$221,MATCH(A46,Billing_Export!$A$2:$A$221,0))</f>
        <v>18.46</v>
      </c>
      <c r="I46" s="7" t="str">
        <f aca="false">INDEX(Billing_Export!$E$2:$E$221,MATCH(A46,Billing_Export!$A$2:$A$221,0))</f>
        <v>Paid</v>
      </c>
      <c r="J46" s="7" t="str">
        <f aca="false">INDEX(Billing_Export!$F$2:$F$221,MATCH(A46,Billing_Export!$A$2:$A$221,0))</f>
        <v>None</v>
      </c>
    </row>
    <row r="47" customFormat="false" ht="15" hidden="false" customHeight="false" outlineLevel="0" collapsed="false">
      <c r="A47" s="12" t="n">
        <f aca="false">EHR_Export!A44</f>
        <v>100043</v>
      </c>
      <c r="B47" s="12" t="str">
        <f aca="false">EHR_Export!B44</f>
        <v>Dr. A. Reyes</v>
      </c>
      <c r="C47" s="12" t="str">
        <f aca="false">EHR_Export!C44</f>
        <v>Nephrology</v>
      </c>
      <c r="D47" s="12" t="str">
        <f aca="false">EHR_Export!D44</f>
        <v>2025-01-21</v>
      </c>
      <c r="E47" s="12" t="str">
        <f aca="false">EHR_Export!E44</f>
        <v>71046</v>
      </c>
      <c r="F47" s="7" t="str">
        <f aca="false">INDEX(Billing_Export!$B$2:$B$221,MATCH(A47,Billing_Export!$A$2:$A$221,0))</f>
        <v>Kaiser HMO</v>
      </c>
      <c r="G47" s="14" t="n">
        <f aca="false">INDEX(Billing_Export!$C$2:$C$221,MATCH(A47,Billing_Export!$A$2:$A$221,0))</f>
        <v>71.33</v>
      </c>
      <c r="H47" s="14" t="n">
        <f aca="false">INDEX(Billing_Export!$D$2:$D$221,MATCH(A47,Billing_Export!$A$2:$A$221,0))</f>
        <v>50.59</v>
      </c>
      <c r="I47" s="7" t="str">
        <f aca="false">INDEX(Billing_Export!$E$2:$E$221,MATCH(A47,Billing_Export!$A$2:$A$221,0))</f>
        <v>Paid</v>
      </c>
      <c r="J47" s="7" t="str">
        <f aca="false">INDEX(Billing_Export!$F$2:$F$221,MATCH(A47,Billing_Export!$A$2:$A$221,0))</f>
        <v>None</v>
      </c>
    </row>
    <row r="48" customFormat="false" ht="15" hidden="false" customHeight="false" outlineLevel="0" collapsed="false">
      <c r="A48" s="12" t="n">
        <f aca="false">EHR_Export!A45</f>
        <v>100044</v>
      </c>
      <c r="B48" s="12" t="str">
        <f aca="false">EHR_Export!B45</f>
        <v>Dr. F. Martinez</v>
      </c>
      <c r="C48" s="12" t="str">
        <f aca="false">EHR_Export!C45</f>
        <v>Internal Medicine</v>
      </c>
      <c r="D48" s="12" t="str">
        <f aca="false">EHR_Export!D45</f>
        <v>2025-03-21</v>
      </c>
      <c r="E48" s="12" t="str">
        <f aca="false">EHR_Export!E45</f>
        <v>99203</v>
      </c>
      <c r="F48" s="7" t="str">
        <f aca="false">INDEX(Billing_Export!$B$2:$B$221,MATCH(A48,Billing_Export!$A$2:$A$221,0))</f>
        <v>Medicaid</v>
      </c>
      <c r="G48" s="14" t="n">
        <f aca="false">INDEX(Billing_Export!$C$2:$C$221,MATCH(A48,Billing_Export!$A$2:$A$221,0))</f>
        <v>107.31</v>
      </c>
      <c r="H48" s="14" t="n">
        <f aca="false">INDEX(Billing_Export!$D$2:$D$221,MATCH(A48,Billing_Export!$A$2:$A$221,0))</f>
        <v>75.66</v>
      </c>
      <c r="I48" s="7" t="str">
        <f aca="false">INDEX(Billing_Export!$E$2:$E$221,MATCH(A48,Billing_Export!$A$2:$A$221,0))</f>
        <v>Paid</v>
      </c>
      <c r="J48" s="7" t="str">
        <f aca="false">INDEX(Billing_Export!$F$2:$F$221,MATCH(A48,Billing_Export!$A$2:$A$221,0))</f>
        <v>None</v>
      </c>
    </row>
    <row r="49" customFormat="false" ht="15" hidden="false" customHeight="false" outlineLevel="0" collapsed="false">
      <c r="A49" s="12" t="n">
        <f aca="false">EHR_Export!A46</f>
        <v>100045</v>
      </c>
      <c r="B49" s="12" t="str">
        <f aca="false">EHR_Export!B46</f>
        <v>Dr. D. Nguyen</v>
      </c>
      <c r="C49" s="12" t="str">
        <f aca="false">EHR_Export!C46</f>
        <v>Cardiology</v>
      </c>
      <c r="D49" s="12" t="str">
        <f aca="false">EHR_Export!D46</f>
        <v>2025-07-30</v>
      </c>
      <c r="E49" s="12" t="str">
        <f aca="false">EHR_Export!E46</f>
        <v>99215</v>
      </c>
      <c r="F49" s="7" t="str">
        <f aca="false">INDEX(Billing_Export!$B$2:$B$221,MATCH(A49,Billing_Export!$A$2:$A$221,0))</f>
        <v>Medicaid</v>
      </c>
      <c r="G49" s="14" t="n">
        <f aca="false">INDEX(Billing_Export!$C$2:$C$221,MATCH(A49,Billing_Export!$A$2:$A$221,0))</f>
        <v>187.14</v>
      </c>
      <c r="H49" s="14" t="n">
        <f aca="false">INDEX(Billing_Export!$D$2:$D$221,MATCH(A49,Billing_Export!$A$2:$A$221,0))</f>
        <v>92.74</v>
      </c>
      <c r="I49" s="7" t="str">
        <f aca="false">INDEX(Billing_Export!$E$2:$E$221,MATCH(A49,Billing_Export!$A$2:$A$221,0))</f>
        <v>Paid</v>
      </c>
      <c r="J49" s="7" t="str">
        <f aca="false">INDEX(Billing_Export!$F$2:$F$221,MATCH(A49,Billing_Export!$A$2:$A$221,0))</f>
        <v>None</v>
      </c>
    </row>
    <row r="50" customFormat="false" ht="15" hidden="false" customHeight="false" outlineLevel="0" collapsed="false">
      <c r="A50" s="12" t="n">
        <f aca="false">EHR_Export!A47</f>
        <v>100046</v>
      </c>
      <c r="B50" s="12" t="str">
        <f aca="false">EHR_Export!B47</f>
        <v>Dr. D. Nguyen</v>
      </c>
      <c r="C50" s="12" t="str">
        <f aca="false">EHR_Export!C47</f>
        <v>Cardiology</v>
      </c>
      <c r="D50" s="12" t="str">
        <f aca="false">EHR_Export!D47</f>
        <v>2025-04-24</v>
      </c>
      <c r="E50" s="12" t="str">
        <f aca="false">EHR_Export!E47</f>
        <v>99215</v>
      </c>
      <c r="F50" s="7" t="str">
        <f aca="false">INDEX(Billing_Export!$B$2:$B$221,MATCH(A50,Billing_Export!$A$2:$A$221,0))</f>
        <v>Kaiser HMO</v>
      </c>
      <c r="G50" s="14" t="n">
        <f aca="false">INDEX(Billing_Export!$C$2:$C$221,MATCH(A50,Billing_Export!$A$2:$A$221,0))</f>
        <v>294.85</v>
      </c>
      <c r="H50" s="14" t="n">
        <f aca="false">INDEX(Billing_Export!$D$2:$D$221,MATCH(A50,Billing_Export!$A$2:$A$221,0))</f>
        <v>231.04</v>
      </c>
      <c r="I50" s="7" t="str">
        <f aca="false">INDEX(Billing_Export!$E$2:$E$221,MATCH(A50,Billing_Export!$A$2:$A$221,0))</f>
        <v>Paid</v>
      </c>
      <c r="J50" s="7" t="str">
        <f aca="false">INDEX(Billing_Export!$F$2:$F$221,MATCH(A50,Billing_Export!$A$2:$A$221,0))</f>
        <v>None</v>
      </c>
    </row>
    <row r="51" customFormat="false" ht="15" hidden="false" customHeight="false" outlineLevel="0" collapsed="false">
      <c r="A51" s="12" t="n">
        <f aca="false">EHR_Export!A48</f>
        <v>100047</v>
      </c>
      <c r="B51" s="12" t="str">
        <f aca="false">EHR_Export!B48</f>
        <v>Dr. D. Nguyen</v>
      </c>
      <c r="C51" s="12" t="str">
        <f aca="false">EHR_Export!C48</f>
        <v>Cardiology</v>
      </c>
      <c r="D51" s="12" t="str">
        <f aca="false">EHR_Export!D48</f>
        <v>2025-04-09</v>
      </c>
      <c r="E51" s="12" t="str">
        <f aca="false">EHR_Export!E48</f>
        <v>90935</v>
      </c>
      <c r="F51" s="7" t="str">
        <f aca="false">INDEX(Billing_Export!$B$2:$B$221,MATCH(A51,Billing_Export!$A$2:$A$221,0))</f>
        <v>Commercial - Blue Shield</v>
      </c>
      <c r="G51" s="14" t="n">
        <f aca="false">INDEX(Billing_Export!$C$2:$C$221,MATCH(A51,Billing_Export!$A$2:$A$221,0))</f>
        <v>240.73</v>
      </c>
      <c r="H51" s="14" t="n">
        <f aca="false">INDEX(Billing_Export!$D$2:$D$221,MATCH(A51,Billing_Export!$A$2:$A$221,0))</f>
        <v>181.66</v>
      </c>
      <c r="I51" s="7" t="str">
        <f aca="false">INDEX(Billing_Export!$E$2:$E$221,MATCH(A51,Billing_Export!$A$2:$A$221,0))</f>
        <v>Paid</v>
      </c>
      <c r="J51" s="7" t="str">
        <f aca="false">INDEX(Billing_Export!$F$2:$F$221,MATCH(A51,Billing_Export!$A$2:$A$221,0))</f>
        <v>None</v>
      </c>
    </row>
    <row r="52" customFormat="false" ht="15" hidden="false" customHeight="false" outlineLevel="0" collapsed="false">
      <c r="A52" s="12" t="n">
        <f aca="false">EHR_Export!A49</f>
        <v>100048</v>
      </c>
      <c r="B52" s="12" t="str">
        <f aca="false">EHR_Export!B49</f>
        <v>Dr. G. Kim</v>
      </c>
      <c r="C52" s="12" t="str">
        <f aca="false">EHR_Export!C49</f>
        <v>Endocrinology</v>
      </c>
      <c r="D52" s="12" t="str">
        <f aca="false">EHR_Export!D49</f>
        <v>2025-06-29</v>
      </c>
      <c r="E52" s="12" t="str">
        <f aca="false">EHR_Export!E49</f>
        <v>99204</v>
      </c>
      <c r="F52" s="7" t="str">
        <f aca="false">INDEX(Billing_Export!$B$2:$B$221,MATCH(A52,Billing_Export!$A$2:$A$221,0))</f>
        <v>Kaiser HMO</v>
      </c>
      <c r="G52" s="14" t="n">
        <f aca="false">INDEX(Billing_Export!$C$2:$C$221,MATCH(A52,Billing_Export!$A$2:$A$221,0))</f>
        <v>293.94</v>
      </c>
      <c r="H52" s="14" t="n">
        <f aca="false">INDEX(Billing_Export!$D$2:$D$221,MATCH(A52,Billing_Export!$A$2:$A$221,0))</f>
        <v>0</v>
      </c>
      <c r="I52" s="7" t="str">
        <f aca="false">INDEX(Billing_Export!$E$2:$E$221,MATCH(A52,Billing_Export!$A$2:$A$221,0))</f>
        <v>Denied</v>
      </c>
      <c r="J52" s="7" t="str">
        <f aca="false">INDEX(Billing_Export!$F$2:$F$221,MATCH(A52,Billing_Export!$A$2:$A$221,0))</f>
        <v>Timely Filing Limit Exceeded</v>
      </c>
    </row>
    <row r="53" customFormat="false" ht="15" hidden="false" customHeight="false" outlineLevel="0" collapsed="false">
      <c r="A53" s="12" t="n">
        <f aca="false">EHR_Export!A50</f>
        <v>100049</v>
      </c>
      <c r="B53" s="12" t="str">
        <f aca="false">EHR_Export!B50</f>
        <v>Dr. G. Kim</v>
      </c>
      <c r="C53" s="12" t="str">
        <f aca="false">EHR_Export!C50</f>
        <v>Endocrinology</v>
      </c>
      <c r="D53" s="12" t="str">
        <f aca="false">EHR_Export!D50</f>
        <v>2025-05-16</v>
      </c>
      <c r="E53" s="12" t="str">
        <f aca="false">EHR_Export!E50</f>
        <v>90935</v>
      </c>
      <c r="F53" s="7" t="str">
        <f aca="false">INDEX(Billing_Export!$B$2:$B$221,MATCH(A53,Billing_Export!$A$2:$A$221,0))</f>
        <v>Commercial - Aetna</v>
      </c>
      <c r="G53" s="14" t="n">
        <f aca="false">INDEX(Billing_Export!$C$2:$C$221,MATCH(A53,Billing_Export!$A$2:$A$221,0))</f>
        <v>294.09</v>
      </c>
      <c r="H53" s="14" t="n">
        <f aca="false">INDEX(Billing_Export!$D$2:$D$221,MATCH(A53,Billing_Export!$A$2:$A$221,0))</f>
        <v>201.36</v>
      </c>
      <c r="I53" s="7" t="str">
        <f aca="false">INDEX(Billing_Export!$E$2:$E$221,MATCH(A53,Billing_Export!$A$2:$A$221,0))</f>
        <v>Paid</v>
      </c>
      <c r="J53" s="7" t="str">
        <f aca="false">INDEX(Billing_Export!$F$2:$F$221,MATCH(A53,Billing_Export!$A$2:$A$221,0))</f>
        <v>None</v>
      </c>
    </row>
    <row r="54" customFormat="false" ht="15" hidden="false" customHeight="false" outlineLevel="0" collapsed="false">
      <c r="A54" s="12" t="n">
        <f aca="false">EHR_Export!A51</f>
        <v>100050</v>
      </c>
      <c r="B54" s="12" t="str">
        <f aca="false">EHR_Export!B51</f>
        <v>Dr. A. Reyes</v>
      </c>
      <c r="C54" s="12" t="str">
        <f aca="false">EHR_Export!C51</f>
        <v>Nephrology</v>
      </c>
      <c r="D54" s="12" t="str">
        <f aca="false">EHR_Export!D51</f>
        <v>2025-09-19</v>
      </c>
      <c r="E54" s="12" t="str">
        <f aca="false">EHR_Export!E51</f>
        <v>71046</v>
      </c>
      <c r="F54" s="7" t="str">
        <f aca="false">INDEX(Billing_Export!$B$2:$B$221,MATCH(A54,Billing_Export!$A$2:$A$221,0))</f>
        <v>Medicare</v>
      </c>
      <c r="G54" s="14" t="n">
        <f aca="false">INDEX(Billing_Export!$C$2:$C$221,MATCH(A54,Billing_Export!$A$2:$A$221,0))</f>
        <v>64.59</v>
      </c>
      <c r="H54" s="14" t="n">
        <f aca="false">INDEX(Billing_Export!$D$2:$D$221,MATCH(A54,Billing_Export!$A$2:$A$221,0))</f>
        <v>48.31</v>
      </c>
      <c r="I54" s="7" t="str">
        <f aca="false">INDEX(Billing_Export!$E$2:$E$221,MATCH(A54,Billing_Export!$A$2:$A$221,0))</f>
        <v>Paid</v>
      </c>
      <c r="J54" s="7" t="str">
        <f aca="false">INDEX(Billing_Export!$F$2:$F$221,MATCH(A54,Billing_Export!$A$2:$A$221,0))</f>
        <v>None</v>
      </c>
    </row>
    <row r="55" customFormat="false" ht="15" hidden="false" customHeight="false" outlineLevel="0" collapsed="false">
      <c r="A55" s="12" t="n">
        <f aca="false">EHR_Export!A52</f>
        <v>100051</v>
      </c>
      <c r="B55" s="12" t="str">
        <f aca="false">EHR_Export!B52</f>
        <v>Dr. B. Chen</v>
      </c>
      <c r="C55" s="12" t="str">
        <f aca="false">EHR_Export!C52</f>
        <v>Nephrology</v>
      </c>
      <c r="D55" s="12" t="str">
        <f aca="false">EHR_Export!D52</f>
        <v>2025-04-11</v>
      </c>
      <c r="E55" s="12" t="str">
        <f aca="false">EHR_Export!E52</f>
        <v>71046</v>
      </c>
      <c r="F55" s="7" t="str">
        <f aca="false">INDEX(Billing_Export!$B$2:$B$221,MATCH(A55,Billing_Export!$A$2:$A$221,0))</f>
        <v>Commercial - Blue Shield</v>
      </c>
      <c r="G55" s="14" t="n">
        <f aca="false">INDEX(Billing_Export!$C$2:$C$221,MATCH(A55,Billing_Export!$A$2:$A$221,0))</f>
        <v>76.6</v>
      </c>
      <c r="H55" s="14" t="n">
        <f aca="false">INDEX(Billing_Export!$D$2:$D$221,MATCH(A55,Billing_Export!$A$2:$A$221,0))</f>
        <v>62.07</v>
      </c>
      <c r="I55" s="7" t="str">
        <f aca="false">INDEX(Billing_Export!$E$2:$E$221,MATCH(A55,Billing_Export!$A$2:$A$221,0))</f>
        <v>Paid</v>
      </c>
      <c r="J55" s="7" t="str">
        <f aca="false">INDEX(Billing_Export!$F$2:$F$221,MATCH(A55,Billing_Export!$A$2:$A$221,0))</f>
        <v>None</v>
      </c>
    </row>
    <row r="56" customFormat="false" ht="15" hidden="false" customHeight="false" outlineLevel="0" collapsed="false">
      <c r="A56" s="12" t="n">
        <f aca="false">EHR_Export!A53</f>
        <v>100052</v>
      </c>
      <c r="B56" s="12" t="str">
        <f aca="false">EHR_Export!B53</f>
        <v>Dr. F. Martinez</v>
      </c>
      <c r="C56" s="12" t="str">
        <f aca="false">EHR_Export!C53</f>
        <v>Internal Medicine</v>
      </c>
      <c r="D56" s="12" t="str">
        <f aca="false">EHR_Export!D53</f>
        <v>2025-03-05</v>
      </c>
      <c r="E56" s="12" t="str">
        <f aca="false">EHR_Export!E53</f>
        <v>99214</v>
      </c>
      <c r="F56" s="7" t="str">
        <f aca="false">INDEX(Billing_Export!$B$2:$B$221,MATCH(A56,Billing_Export!$A$2:$A$221,0))</f>
        <v>Commercial - Blue Shield</v>
      </c>
      <c r="G56" s="14" t="n">
        <f aca="false">INDEX(Billing_Export!$C$2:$C$221,MATCH(A56,Billing_Export!$A$2:$A$221,0))</f>
        <v>260.2</v>
      </c>
      <c r="H56" s="14" t="n">
        <f aca="false">INDEX(Billing_Export!$D$2:$D$221,MATCH(A56,Billing_Export!$A$2:$A$221,0))</f>
        <v>166.62</v>
      </c>
      <c r="I56" s="7" t="str">
        <f aca="false">INDEX(Billing_Export!$E$2:$E$221,MATCH(A56,Billing_Export!$A$2:$A$221,0))</f>
        <v>Paid</v>
      </c>
      <c r="J56" s="7" t="str">
        <f aca="false">INDEX(Billing_Export!$F$2:$F$221,MATCH(A56,Billing_Export!$A$2:$A$221,0))</f>
        <v>None</v>
      </c>
    </row>
    <row r="57" customFormat="false" ht="15" hidden="false" customHeight="false" outlineLevel="0" collapsed="false">
      <c r="A57" s="12" t="n">
        <f aca="false">EHR_Export!A54</f>
        <v>100053</v>
      </c>
      <c r="B57" s="12" t="str">
        <f aca="false">EHR_Export!B54</f>
        <v>Dr. E. Patel</v>
      </c>
      <c r="C57" s="12" t="str">
        <f aca="false">EHR_Export!C54</f>
        <v>Internal Medicine</v>
      </c>
      <c r="D57" s="12" t="str">
        <f aca="false">EHR_Export!D54</f>
        <v>2025-04-09</v>
      </c>
      <c r="E57" s="12" t="str">
        <f aca="false">EHR_Export!E54</f>
        <v>99204</v>
      </c>
      <c r="F57" s="7" t="str">
        <f aca="false">INDEX(Billing_Export!$B$2:$B$221,MATCH(A57,Billing_Export!$A$2:$A$221,0))</f>
        <v>Commercial - Aetna</v>
      </c>
      <c r="G57" s="14" t="n">
        <f aca="false">INDEX(Billing_Export!$C$2:$C$221,MATCH(A57,Billing_Export!$A$2:$A$221,0))</f>
        <v>333.52</v>
      </c>
      <c r="H57" s="14" t="n">
        <f aca="false">INDEX(Billing_Export!$D$2:$D$221,MATCH(A57,Billing_Export!$A$2:$A$221,0))</f>
        <v>186.5</v>
      </c>
      <c r="I57" s="7" t="str">
        <f aca="false">INDEX(Billing_Export!$E$2:$E$221,MATCH(A57,Billing_Export!$A$2:$A$221,0))</f>
        <v>Paid</v>
      </c>
      <c r="J57" s="7" t="str">
        <f aca="false">INDEX(Billing_Export!$F$2:$F$221,MATCH(A57,Billing_Export!$A$2:$A$221,0))</f>
        <v>None</v>
      </c>
    </row>
    <row r="58" customFormat="false" ht="15" hidden="false" customHeight="false" outlineLevel="0" collapsed="false">
      <c r="A58" s="12" t="n">
        <f aca="false">EHR_Export!A55</f>
        <v>100054</v>
      </c>
      <c r="B58" s="12" t="str">
        <f aca="false">EHR_Export!B55</f>
        <v>Dr. G. Kim</v>
      </c>
      <c r="C58" s="12" t="str">
        <f aca="false">EHR_Export!C55</f>
        <v>Endocrinology</v>
      </c>
      <c r="D58" s="12" t="str">
        <f aca="false">EHR_Export!D55</f>
        <v>2025-05-27</v>
      </c>
      <c r="E58" s="12" t="str">
        <f aca="false">EHR_Export!E55</f>
        <v>99215</v>
      </c>
      <c r="F58" s="7" t="str">
        <f aca="false">INDEX(Billing_Export!$B$2:$B$221,MATCH(A58,Billing_Export!$A$2:$A$221,0))</f>
        <v>Commercial - Blue Shield</v>
      </c>
      <c r="G58" s="14" t="n">
        <f aca="false">INDEX(Billing_Export!$C$2:$C$221,MATCH(A58,Billing_Export!$A$2:$A$221,0))</f>
        <v>336.77</v>
      </c>
      <c r="H58" s="14" t="n">
        <f aca="false">INDEX(Billing_Export!$D$2:$D$221,MATCH(A58,Billing_Export!$A$2:$A$221,0))</f>
        <v>228.93</v>
      </c>
      <c r="I58" s="7" t="str">
        <f aca="false">INDEX(Billing_Export!$E$2:$E$221,MATCH(A58,Billing_Export!$A$2:$A$221,0))</f>
        <v>Paid</v>
      </c>
      <c r="J58" s="7" t="str">
        <f aca="false">INDEX(Billing_Export!$F$2:$F$221,MATCH(A58,Billing_Export!$A$2:$A$221,0))</f>
        <v>None</v>
      </c>
    </row>
    <row r="59" customFormat="false" ht="15" hidden="false" customHeight="false" outlineLevel="0" collapsed="false">
      <c r="A59" s="12" t="n">
        <f aca="false">EHR_Export!A56</f>
        <v>100055</v>
      </c>
      <c r="B59" s="12" t="str">
        <f aca="false">EHR_Export!B56</f>
        <v>Dr. D. Nguyen</v>
      </c>
      <c r="C59" s="12" t="str">
        <f aca="false">EHR_Export!C56</f>
        <v>Cardiology</v>
      </c>
      <c r="D59" s="12" t="str">
        <f aca="false">EHR_Export!D56</f>
        <v>2025-09-19</v>
      </c>
      <c r="E59" s="12" t="str">
        <f aca="false">EHR_Export!E56</f>
        <v>71046</v>
      </c>
      <c r="F59" s="7" t="str">
        <f aca="false">INDEX(Billing_Export!$B$2:$B$221,MATCH(A59,Billing_Export!$A$2:$A$221,0))</f>
        <v>Commercial - Blue Shield</v>
      </c>
      <c r="G59" s="14" t="n">
        <f aca="false">INDEX(Billing_Export!$C$2:$C$221,MATCH(A59,Billing_Export!$A$2:$A$221,0))</f>
        <v>88.23</v>
      </c>
      <c r="H59" s="14" t="n">
        <f aca="false">INDEX(Billing_Export!$D$2:$D$221,MATCH(A59,Billing_Export!$A$2:$A$221,0))</f>
        <v>62.65</v>
      </c>
      <c r="I59" s="7" t="str">
        <f aca="false">INDEX(Billing_Export!$E$2:$E$221,MATCH(A59,Billing_Export!$A$2:$A$221,0))</f>
        <v>Paid</v>
      </c>
      <c r="J59" s="7" t="str">
        <f aca="false">INDEX(Billing_Export!$F$2:$F$221,MATCH(A59,Billing_Export!$A$2:$A$221,0))</f>
        <v>None</v>
      </c>
    </row>
    <row r="60" customFormat="false" ht="15" hidden="false" customHeight="false" outlineLevel="0" collapsed="false">
      <c r="A60" s="12" t="n">
        <f aca="false">EHR_Export!A57</f>
        <v>100056</v>
      </c>
      <c r="B60" s="12" t="str">
        <f aca="false">EHR_Export!B57</f>
        <v>Dr. H. Thompson</v>
      </c>
      <c r="C60" s="12" t="str">
        <f aca="false">EHR_Export!C57</f>
        <v>Family Medicine</v>
      </c>
      <c r="D60" s="12" t="str">
        <f aca="false">EHR_Export!D57</f>
        <v>2025-05-01</v>
      </c>
      <c r="E60" s="12" t="str">
        <f aca="false">EHR_Export!E57</f>
        <v>99214</v>
      </c>
      <c r="F60" s="7" t="str">
        <f aca="false">INDEX(Billing_Export!$B$2:$B$221,MATCH(A60,Billing_Export!$A$2:$A$221,0))</f>
        <v>Medicaid</v>
      </c>
      <c r="G60" s="14" t="n">
        <f aca="false">INDEX(Billing_Export!$C$2:$C$221,MATCH(A60,Billing_Export!$A$2:$A$221,0))</f>
        <v>107.33</v>
      </c>
      <c r="H60" s="14" t="n">
        <f aca="false">INDEX(Billing_Export!$D$2:$D$221,MATCH(A60,Billing_Export!$A$2:$A$221,0))</f>
        <v>81.95</v>
      </c>
      <c r="I60" s="7" t="str">
        <f aca="false">INDEX(Billing_Export!$E$2:$E$221,MATCH(A60,Billing_Export!$A$2:$A$221,0))</f>
        <v>Paid</v>
      </c>
      <c r="J60" s="7" t="str">
        <f aca="false">INDEX(Billing_Export!$F$2:$F$221,MATCH(A60,Billing_Export!$A$2:$A$221,0))</f>
        <v>None</v>
      </c>
    </row>
    <row r="61" customFormat="false" ht="15" hidden="false" customHeight="false" outlineLevel="0" collapsed="false">
      <c r="A61" s="12" t="n">
        <f aca="false">EHR_Export!A58</f>
        <v>100057</v>
      </c>
      <c r="B61" s="12" t="str">
        <f aca="false">EHR_Export!B58</f>
        <v>Dr. E. Patel</v>
      </c>
      <c r="C61" s="12" t="str">
        <f aca="false">EHR_Export!C58</f>
        <v>Internal Medicine</v>
      </c>
      <c r="D61" s="12" t="str">
        <f aca="false">EHR_Export!D58</f>
        <v>2025-02-07</v>
      </c>
      <c r="E61" s="12" t="str">
        <f aca="false">EHR_Export!E58</f>
        <v>99203</v>
      </c>
      <c r="F61" s="7" t="str">
        <f aca="false">INDEX(Billing_Export!$B$2:$B$221,MATCH(A61,Billing_Export!$A$2:$A$221,0))</f>
        <v>Medicaid</v>
      </c>
      <c r="G61" s="14" t="n">
        <f aca="false">INDEX(Billing_Export!$C$2:$C$221,MATCH(A61,Billing_Export!$A$2:$A$221,0))</f>
        <v>90.01</v>
      </c>
      <c r="H61" s="14" t="n">
        <f aca="false">INDEX(Billing_Export!$D$2:$D$221,MATCH(A61,Billing_Export!$A$2:$A$221,0))</f>
        <v>84.49</v>
      </c>
      <c r="I61" s="7" t="str">
        <f aca="false">INDEX(Billing_Export!$E$2:$E$221,MATCH(A61,Billing_Export!$A$2:$A$221,0))</f>
        <v>Paid</v>
      </c>
      <c r="J61" s="7" t="str">
        <f aca="false">INDEX(Billing_Export!$F$2:$F$221,MATCH(A61,Billing_Export!$A$2:$A$221,0))</f>
        <v>None</v>
      </c>
    </row>
    <row r="62" customFormat="false" ht="15" hidden="false" customHeight="false" outlineLevel="0" collapsed="false">
      <c r="A62" s="12" t="n">
        <f aca="false">EHR_Export!A59</f>
        <v>100058</v>
      </c>
      <c r="B62" s="12" t="str">
        <f aca="false">EHR_Export!B59</f>
        <v>Dr. H. Thompson</v>
      </c>
      <c r="C62" s="12" t="str">
        <f aca="false">EHR_Export!C59</f>
        <v>Family Medicine</v>
      </c>
      <c r="D62" s="12" t="str">
        <f aca="false">EHR_Export!D59</f>
        <v>2025-01-03</v>
      </c>
      <c r="E62" s="12" t="str">
        <f aca="false">EHR_Export!E59</f>
        <v>71046</v>
      </c>
      <c r="F62" s="7" t="str">
        <f aca="false">INDEX(Billing_Export!$B$2:$B$221,MATCH(A62,Billing_Export!$A$2:$A$221,0))</f>
        <v>Commercial - Blue Shield</v>
      </c>
      <c r="G62" s="14" t="n">
        <f aca="false">INDEX(Billing_Export!$C$2:$C$221,MATCH(A62,Billing_Export!$A$2:$A$221,0))</f>
        <v>76.72</v>
      </c>
      <c r="H62" s="14" t="n">
        <f aca="false">INDEX(Billing_Export!$D$2:$D$221,MATCH(A62,Billing_Export!$A$2:$A$221,0))</f>
        <v>61.05</v>
      </c>
      <c r="I62" s="7" t="str">
        <f aca="false">INDEX(Billing_Export!$E$2:$E$221,MATCH(A62,Billing_Export!$A$2:$A$221,0))</f>
        <v>Paid</v>
      </c>
      <c r="J62" s="7" t="str">
        <f aca="false">INDEX(Billing_Export!$F$2:$F$221,MATCH(A62,Billing_Export!$A$2:$A$221,0))</f>
        <v>None</v>
      </c>
    </row>
    <row r="63" customFormat="false" ht="15" hidden="false" customHeight="false" outlineLevel="0" collapsed="false">
      <c r="A63" s="12" t="n">
        <f aca="false">EHR_Export!A60</f>
        <v>100059</v>
      </c>
      <c r="B63" s="12" t="str">
        <f aca="false">EHR_Export!B60</f>
        <v>Dr. B. Chen</v>
      </c>
      <c r="C63" s="12" t="str">
        <f aca="false">EHR_Export!C60</f>
        <v>Nephrology</v>
      </c>
      <c r="D63" s="12" t="str">
        <f aca="false">EHR_Export!D60</f>
        <v>2025-08-26</v>
      </c>
      <c r="E63" s="12" t="str">
        <f aca="false">EHR_Export!E60</f>
        <v>99203</v>
      </c>
      <c r="F63" s="7" t="str">
        <f aca="false">INDEX(Billing_Export!$B$2:$B$221,MATCH(A63,Billing_Export!$A$2:$A$221,0))</f>
        <v>Commercial - Blue Shield</v>
      </c>
      <c r="G63" s="14" t="n">
        <f aca="false">INDEX(Billing_Export!$C$2:$C$221,MATCH(A63,Billing_Export!$A$2:$A$221,0))</f>
        <v>178.23</v>
      </c>
      <c r="H63" s="14" t="n">
        <f aca="false">INDEX(Billing_Export!$D$2:$D$221,MATCH(A63,Billing_Export!$A$2:$A$221,0))</f>
        <v>0</v>
      </c>
      <c r="I63" s="7" t="str">
        <f aca="false">INDEX(Billing_Export!$E$2:$E$221,MATCH(A63,Billing_Export!$A$2:$A$221,0))</f>
        <v>Denied</v>
      </c>
      <c r="J63" s="7" t="str">
        <f aca="false">INDEX(Billing_Export!$F$2:$F$221,MATCH(A63,Billing_Export!$A$2:$A$221,0))</f>
        <v>Duplicate Claim</v>
      </c>
    </row>
    <row r="64" customFormat="false" ht="15" hidden="false" customHeight="false" outlineLevel="0" collapsed="false">
      <c r="A64" s="12" t="n">
        <f aca="false">EHR_Export!A61</f>
        <v>100060</v>
      </c>
      <c r="B64" s="12" t="str">
        <f aca="false">EHR_Export!B61</f>
        <v>Dr. A. Reyes</v>
      </c>
      <c r="C64" s="12" t="str">
        <f aca="false">EHR_Export!C61</f>
        <v>Nephrology</v>
      </c>
      <c r="D64" s="12" t="str">
        <f aca="false">EHR_Export!D61</f>
        <v>2025-06-12</v>
      </c>
      <c r="E64" s="12" t="str">
        <f aca="false">EHR_Export!E61</f>
        <v>99203</v>
      </c>
      <c r="F64" s="7" t="str">
        <f aca="false">INDEX(Billing_Export!$B$2:$B$221,MATCH(A64,Billing_Export!$A$2:$A$221,0))</f>
        <v>Commercial - Aetna</v>
      </c>
      <c r="G64" s="14" t="n">
        <f aca="false">INDEX(Billing_Export!$C$2:$C$221,MATCH(A64,Billing_Export!$A$2:$A$221,0))</f>
        <v>226.61</v>
      </c>
      <c r="H64" s="14" t="n">
        <f aca="false">INDEX(Billing_Export!$D$2:$D$221,MATCH(A64,Billing_Export!$A$2:$A$221,0))</f>
        <v>144.69</v>
      </c>
      <c r="I64" s="7" t="str">
        <f aca="false">INDEX(Billing_Export!$E$2:$E$221,MATCH(A64,Billing_Export!$A$2:$A$221,0))</f>
        <v>Paid</v>
      </c>
      <c r="J64" s="7" t="str">
        <f aca="false">INDEX(Billing_Export!$F$2:$F$221,MATCH(A64,Billing_Export!$A$2:$A$221,0))</f>
        <v>None</v>
      </c>
    </row>
    <row r="65" customFormat="false" ht="15" hidden="false" customHeight="false" outlineLevel="0" collapsed="false">
      <c r="A65" s="12" t="n">
        <f aca="false">EHR_Export!A62</f>
        <v>100061</v>
      </c>
      <c r="B65" s="12" t="str">
        <f aca="false">EHR_Export!B62</f>
        <v>Dr. H. Thompson</v>
      </c>
      <c r="C65" s="12" t="str">
        <f aca="false">EHR_Export!C62</f>
        <v>Family Medicine</v>
      </c>
      <c r="D65" s="12" t="str">
        <f aca="false">EHR_Export!D62</f>
        <v>2025-09-01</v>
      </c>
      <c r="E65" s="12" t="str">
        <f aca="false">EHR_Export!E62</f>
        <v>93000</v>
      </c>
      <c r="F65" s="7" t="str">
        <f aca="false">INDEX(Billing_Export!$B$2:$B$221,MATCH(A65,Billing_Export!$A$2:$A$221,0))</f>
        <v>Commercial - Aetna</v>
      </c>
      <c r="G65" s="14" t="n">
        <f aca="false">INDEX(Billing_Export!$C$2:$C$221,MATCH(A65,Billing_Export!$A$2:$A$221,0))</f>
        <v>59.05</v>
      </c>
      <c r="H65" s="14" t="n">
        <f aca="false">INDEX(Billing_Export!$D$2:$D$221,MATCH(A65,Billing_Export!$A$2:$A$221,0))</f>
        <v>43.1</v>
      </c>
      <c r="I65" s="7" t="str">
        <f aca="false">INDEX(Billing_Export!$E$2:$E$221,MATCH(A65,Billing_Export!$A$2:$A$221,0))</f>
        <v>Paid</v>
      </c>
      <c r="J65" s="7" t="str">
        <f aca="false">INDEX(Billing_Export!$F$2:$F$221,MATCH(A65,Billing_Export!$A$2:$A$221,0))</f>
        <v>None</v>
      </c>
    </row>
    <row r="66" customFormat="false" ht="15" hidden="false" customHeight="false" outlineLevel="0" collapsed="false">
      <c r="A66" s="12" t="n">
        <f aca="false">EHR_Export!A63</f>
        <v>100062</v>
      </c>
      <c r="B66" s="12" t="str">
        <f aca="false">EHR_Export!B63</f>
        <v>Dr. H. Thompson</v>
      </c>
      <c r="C66" s="12" t="str">
        <f aca="false">EHR_Export!C63</f>
        <v>Family Medicine</v>
      </c>
      <c r="D66" s="12" t="str">
        <f aca="false">EHR_Export!D63</f>
        <v>2025-05-03</v>
      </c>
      <c r="E66" s="12" t="str">
        <f aca="false">EHR_Export!E63</f>
        <v>99203</v>
      </c>
      <c r="F66" s="7" t="str">
        <f aca="false">INDEX(Billing_Export!$B$2:$B$221,MATCH(A66,Billing_Export!$A$2:$A$221,0))</f>
        <v>Kaiser HMO</v>
      </c>
      <c r="G66" s="14" t="n">
        <f aca="false">INDEX(Billing_Export!$C$2:$C$221,MATCH(A66,Billing_Export!$A$2:$A$221,0))</f>
        <v>183.35</v>
      </c>
      <c r="H66" s="14" t="n">
        <f aca="false">INDEX(Billing_Export!$D$2:$D$221,MATCH(A66,Billing_Export!$A$2:$A$221,0))</f>
        <v>95.63</v>
      </c>
      <c r="I66" s="7" t="str">
        <f aca="false">INDEX(Billing_Export!$E$2:$E$221,MATCH(A66,Billing_Export!$A$2:$A$221,0))</f>
        <v>Paid</v>
      </c>
      <c r="J66" s="7" t="str">
        <f aca="false">INDEX(Billing_Export!$F$2:$F$221,MATCH(A66,Billing_Export!$A$2:$A$221,0))</f>
        <v>None</v>
      </c>
    </row>
    <row r="67" customFormat="false" ht="15" hidden="false" customHeight="false" outlineLevel="0" collapsed="false">
      <c r="A67" s="12" t="n">
        <f aca="false">EHR_Export!A64</f>
        <v>100063</v>
      </c>
      <c r="B67" s="12" t="str">
        <f aca="false">EHR_Export!B64</f>
        <v>Dr. E. Patel</v>
      </c>
      <c r="C67" s="12" t="str">
        <f aca="false">EHR_Export!C64</f>
        <v>Internal Medicine</v>
      </c>
      <c r="D67" s="12" t="str">
        <f aca="false">EHR_Export!D64</f>
        <v>2025-02-11</v>
      </c>
      <c r="E67" s="12" t="str">
        <f aca="false">EHR_Export!E64</f>
        <v>99214</v>
      </c>
      <c r="F67" s="7" t="str">
        <f aca="false">INDEX(Billing_Export!$B$2:$B$221,MATCH(A67,Billing_Export!$A$2:$A$221,0))</f>
        <v>Commercial - Blue Shield</v>
      </c>
      <c r="G67" s="14" t="n">
        <f aca="false">INDEX(Billing_Export!$C$2:$C$221,MATCH(A67,Billing_Export!$A$2:$A$221,0))</f>
        <v>242.73</v>
      </c>
      <c r="H67" s="14" t="n">
        <f aca="false">INDEX(Billing_Export!$D$2:$D$221,MATCH(A67,Billing_Export!$A$2:$A$221,0))</f>
        <v>168.89</v>
      </c>
      <c r="I67" s="7" t="str">
        <f aca="false">INDEX(Billing_Export!$E$2:$E$221,MATCH(A67,Billing_Export!$A$2:$A$221,0))</f>
        <v>Paid</v>
      </c>
      <c r="J67" s="7" t="str">
        <f aca="false">INDEX(Billing_Export!$F$2:$F$221,MATCH(A67,Billing_Export!$A$2:$A$221,0))</f>
        <v>None</v>
      </c>
    </row>
    <row r="68" customFormat="false" ht="15" hidden="false" customHeight="false" outlineLevel="0" collapsed="false">
      <c r="A68" s="12" t="n">
        <f aca="false">EHR_Export!A65</f>
        <v>100064</v>
      </c>
      <c r="B68" s="12" t="str">
        <f aca="false">EHR_Export!B65</f>
        <v>Dr. C. Okafor</v>
      </c>
      <c r="C68" s="12" t="str">
        <f aca="false">EHR_Export!C65</f>
        <v>Cardiology</v>
      </c>
      <c r="D68" s="12" t="str">
        <f aca="false">EHR_Export!D65</f>
        <v>2025-06-19</v>
      </c>
      <c r="E68" s="12" t="str">
        <f aca="false">EHR_Export!E65</f>
        <v>99203</v>
      </c>
      <c r="F68" s="7" t="str">
        <f aca="false">INDEX(Billing_Export!$B$2:$B$221,MATCH(A68,Billing_Export!$A$2:$A$221,0))</f>
        <v>Medicaid</v>
      </c>
      <c r="G68" s="14" t="n">
        <f aca="false">INDEX(Billing_Export!$C$2:$C$221,MATCH(A68,Billing_Export!$A$2:$A$221,0))</f>
        <v>97.86</v>
      </c>
      <c r="H68" s="14" t="n">
        <f aca="false">INDEX(Billing_Export!$D$2:$D$221,MATCH(A68,Billing_Export!$A$2:$A$221,0))</f>
        <v>73.62</v>
      </c>
      <c r="I68" s="7" t="str">
        <f aca="false">INDEX(Billing_Export!$E$2:$E$221,MATCH(A68,Billing_Export!$A$2:$A$221,0))</f>
        <v>Paid</v>
      </c>
      <c r="J68" s="7" t="str">
        <f aca="false">INDEX(Billing_Export!$F$2:$F$221,MATCH(A68,Billing_Export!$A$2:$A$221,0))</f>
        <v>None</v>
      </c>
    </row>
    <row r="69" customFormat="false" ht="15" hidden="false" customHeight="false" outlineLevel="0" collapsed="false">
      <c r="A69" s="12" t="n">
        <f aca="false">EHR_Export!A66</f>
        <v>100065</v>
      </c>
      <c r="B69" s="12" t="str">
        <f aca="false">EHR_Export!B66</f>
        <v>Dr. H. Thompson</v>
      </c>
      <c r="C69" s="12" t="str">
        <f aca="false">EHR_Export!C66</f>
        <v>Family Medicine</v>
      </c>
      <c r="D69" s="12" t="str">
        <f aca="false">EHR_Export!D66</f>
        <v>2025-01-11</v>
      </c>
      <c r="E69" s="12" t="str">
        <f aca="false">EHR_Export!E66</f>
        <v>99213</v>
      </c>
      <c r="F69" s="7" t="str">
        <f aca="false">INDEX(Billing_Export!$B$2:$B$221,MATCH(A69,Billing_Export!$A$2:$A$221,0))</f>
        <v>Commercial - Blue Shield</v>
      </c>
      <c r="G69" s="14" t="n">
        <f aca="false">INDEX(Billing_Export!$C$2:$C$221,MATCH(A69,Billing_Export!$A$2:$A$221,0))</f>
        <v>146.68</v>
      </c>
      <c r="H69" s="14" t="n">
        <f aca="false">INDEX(Billing_Export!$D$2:$D$221,MATCH(A69,Billing_Export!$A$2:$A$221,0))</f>
        <v>134.24</v>
      </c>
      <c r="I69" s="7" t="str">
        <f aca="false">INDEX(Billing_Export!$E$2:$E$221,MATCH(A69,Billing_Export!$A$2:$A$221,0))</f>
        <v>Paid</v>
      </c>
      <c r="J69" s="7" t="str">
        <f aca="false">INDEX(Billing_Export!$F$2:$F$221,MATCH(A69,Billing_Export!$A$2:$A$221,0))</f>
        <v>None</v>
      </c>
    </row>
    <row r="70" customFormat="false" ht="15" hidden="false" customHeight="false" outlineLevel="0" collapsed="false">
      <c r="A70" s="12" t="n">
        <f aca="false">EHR_Export!A67</f>
        <v>100066</v>
      </c>
      <c r="B70" s="12" t="str">
        <f aca="false">EHR_Export!B67</f>
        <v>Dr. G. Kim</v>
      </c>
      <c r="C70" s="12" t="str">
        <f aca="false">EHR_Export!C67</f>
        <v>Endocrinology</v>
      </c>
      <c r="D70" s="12" t="str">
        <f aca="false">EHR_Export!D67</f>
        <v>2025-08-03</v>
      </c>
      <c r="E70" s="12" t="str">
        <f aca="false">EHR_Export!E67</f>
        <v>99213</v>
      </c>
      <c r="F70" s="7" t="str">
        <f aca="false">INDEX(Billing_Export!$B$2:$B$221,MATCH(A70,Billing_Export!$A$2:$A$221,0))</f>
        <v>Commercial - Blue Shield</v>
      </c>
      <c r="G70" s="14" t="n">
        <f aca="false">INDEX(Billing_Export!$C$2:$C$221,MATCH(A70,Billing_Export!$A$2:$A$221,0))</f>
        <v>185.76</v>
      </c>
      <c r="H70" s="14" t="n">
        <f aca="false">INDEX(Billing_Export!$D$2:$D$221,MATCH(A70,Billing_Export!$A$2:$A$221,0))</f>
        <v>120.77</v>
      </c>
      <c r="I70" s="7" t="str">
        <f aca="false">INDEX(Billing_Export!$E$2:$E$221,MATCH(A70,Billing_Export!$A$2:$A$221,0))</f>
        <v>Paid</v>
      </c>
      <c r="J70" s="7" t="str">
        <f aca="false">INDEX(Billing_Export!$F$2:$F$221,MATCH(A70,Billing_Export!$A$2:$A$221,0))</f>
        <v>None</v>
      </c>
    </row>
    <row r="71" customFormat="false" ht="15" hidden="false" customHeight="false" outlineLevel="0" collapsed="false">
      <c r="A71" s="12" t="n">
        <f aca="false">EHR_Export!A68</f>
        <v>100067</v>
      </c>
      <c r="B71" s="12" t="str">
        <f aca="false">EHR_Export!B68</f>
        <v>Dr. D. Nguyen</v>
      </c>
      <c r="C71" s="12" t="str">
        <f aca="false">EHR_Export!C68</f>
        <v>Cardiology</v>
      </c>
      <c r="D71" s="12" t="str">
        <f aca="false">EHR_Export!D68</f>
        <v>2025-07-27</v>
      </c>
      <c r="E71" s="12" t="str">
        <f aca="false">EHR_Export!E68</f>
        <v>99203</v>
      </c>
      <c r="F71" s="7" t="str">
        <f aca="false">INDEX(Billing_Export!$B$2:$B$221,MATCH(A71,Billing_Export!$A$2:$A$221,0))</f>
        <v>Commercial - Blue Shield</v>
      </c>
      <c r="G71" s="14" t="n">
        <f aca="false">INDEX(Billing_Export!$C$2:$C$221,MATCH(A71,Billing_Export!$A$2:$A$221,0))</f>
        <v>184.56</v>
      </c>
      <c r="H71" s="14" t="n">
        <f aca="false">INDEX(Billing_Export!$D$2:$D$221,MATCH(A71,Billing_Export!$A$2:$A$221,0))</f>
        <v>146.47</v>
      </c>
      <c r="I71" s="7" t="str">
        <f aca="false">INDEX(Billing_Export!$E$2:$E$221,MATCH(A71,Billing_Export!$A$2:$A$221,0))</f>
        <v>Paid</v>
      </c>
      <c r="J71" s="7" t="str">
        <f aca="false">INDEX(Billing_Export!$F$2:$F$221,MATCH(A71,Billing_Export!$A$2:$A$221,0))</f>
        <v>None</v>
      </c>
    </row>
    <row r="72" customFormat="false" ht="15" hidden="false" customHeight="false" outlineLevel="0" collapsed="false">
      <c r="A72" s="12" t="n">
        <f aca="false">EHR_Export!A69</f>
        <v>100068</v>
      </c>
      <c r="B72" s="12" t="str">
        <f aca="false">EHR_Export!B69</f>
        <v>Dr. C. Okafor</v>
      </c>
      <c r="C72" s="12" t="str">
        <f aca="false">EHR_Export!C69</f>
        <v>Cardiology</v>
      </c>
      <c r="D72" s="12" t="str">
        <f aca="false">EHR_Export!D69</f>
        <v>2025-01-14</v>
      </c>
      <c r="E72" s="12" t="str">
        <f aca="false">EHR_Export!E69</f>
        <v>99215</v>
      </c>
      <c r="F72" s="7" t="str">
        <f aca="false">INDEX(Billing_Export!$B$2:$B$221,MATCH(A72,Billing_Export!$A$2:$A$221,0))</f>
        <v>Commercial - Blue Shield</v>
      </c>
      <c r="G72" s="14" t="n">
        <f aca="false">INDEX(Billing_Export!$C$2:$C$221,MATCH(A72,Billing_Export!$A$2:$A$221,0))</f>
        <v>375.55</v>
      </c>
      <c r="H72" s="14" t="n">
        <f aca="false">INDEX(Billing_Export!$D$2:$D$221,MATCH(A72,Billing_Export!$A$2:$A$221,0))</f>
        <v>268.75</v>
      </c>
      <c r="I72" s="7" t="str">
        <f aca="false">INDEX(Billing_Export!$E$2:$E$221,MATCH(A72,Billing_Export!$A$2:$A$221,0))</f>
        <v>Paid</v>
      </c>
      <c r="J72" s="7" t="str">
        <f aca="false">INDEX(Billing_Export!$F$2:$F$221,MATCH(A72,Billing_Export!$A$2:$A$221,0))</f>
        <v>None</v>
      </c>
    </row>
    <row r="73" customFormat="false" ht="15" hidden="false" customHeight="false" outlineLevel="0" collapsed="false">
      <c r="A73" s="12" t="n">
        <f aca="false">EHR_Export!A70</f>
        <v>100069</v>
      </c>
      <c r="B73" s="12" t="str">
        <f aca="false">EHR_Export!B70</f>
        <v>Dr. B. Chen</v>
      </c>
      <c r="C73" s="12" t="str">
        <f aca="false">EHR_Export!C70</f>
        <v>Nephrology</v>
      </c>
      <c r="D73" s="12" t="str">
        <f aca="false">EHR_Export!D70</f>
        <v>2025-08-21</v>
      </c>
      <c r="E73" s="12" t="str">
        <f aca="false">EHR_Export!E70</f>
        <v>99215</v>
      </c>
      <c r="F73" s="7" t="str">
        <f aca="false">INDEX(Billing_Export!$B$2:$B$221,MATCH(A73,Billing_Export!$A$2:$A$221,0))</f>
        <v>Commercial - Blue Shield</v>
      </c>
      <c r="G73" s="14" t="n">
        <f aca="false">INDEX(Billing_Export!$C$2:$C$221,MATCH(A73,Billing_Export!$A$2:$A$221,0))</f>
        <v>363.46</v>
      </c>
      <c r="H73" s="14" t="n">
        <f aca="false">INDEX(Billing_Export!$D$2:$D$221,MATCH(A73,Billing_Export!$A$2:$A$221,0))</f>
        <v>233.56</v>
      </c>
      <c r="I73" s="7" t="str">
        <f aca="false">INDEX(Billing_Export!$E$2:$E$221,MATCH(A73,Billing_Export!$A$2:$A$221,0))</f>
        <v>Paid</v>
      </c>
      <c r="J73" s="7" t="str">
        <f aca="false">INDEX(Billing_Export!$F$2:$F$221,MATCH(A73,Billing_Export!$A$2:$A$221,0))</f>
        <v>None</v>
      </c>
    </row>
    <row r="74" customFormat="false" ht="15" hidden="false" customHeight="false" outlineLevel="0" collapsed="false">
      <c r="A74" s="12" t="n">
        <f aca="false">EHR_Export!A71</f>
        <v>100070</v>
      </c>
      <c r="B74" s="12" t="str">
        <f aca="false">EHR_Export!B71</f>
        <v>Dr. F. Martinez</v>
      </c>
      <c r="C74" s="12" t="str">
        <f aca="false">EHR_Export!C71</f>
        <v>Internal Medicine</v>
      </c>
      <c r="D74" s="12" t="str">
        <f aca="false">EHR_Export!D71</f>
        <v>2025-05-10</v>
      </c>
      <c r="E74" s="12" t="str">
        <f aca="false">EHR_Export!E71</f>
        <v>36415</v>
      </c>
      <c r="F74" s="7" t="str">
        <f aca="false">INDEX(Billing_Export!$B$2:$B$221,MATCH(A74,Billing_Export!$A$2:$A$221,0))</f>
        <v>Kaiser HMO</v>
      </c>
      <c r="G74" s="14" t="n">
        <f aca="false">INDEX(Billing_Export!$C$2:$C$221,MATCH(A74,Billing_Export!$A$2:$A$221,0))</f>
        <v>16.58</v>
      </c>
      <c r="H74" s="14" t="n">
        <f aca="false">INDEX(Billing_Export!$D$2:$D$221,MATCH(A74,Billing_Export!$A$2:$A$221,0))</f>
        <v>0</v>
      </c>
      <c r="I74" s="7" t="str">
        <f aca="false">INDEX(Billing_Export!$E$2:$E$221,MATCH(A74,Billing_Export!$A$2:$A$221,0))</f>
        <v>Denied</v>
      </c>
      <c r="J74" s="7" t="str">
        <f aca="false">INDEX(Billing_Export!$F$2:$F$221,MATCH(A74,Billing_Export!$A$2:$A$221,0))</f>
        <v>Eligibility Not Verified</v>
      </c>
    </row>
    <row r="75" customFormat="false" ht="15" hidden="false" customHeight="false" outlineLevel="0" collapsed="false">
      <c r="A75" s="12" t="n">
        <f aca="false">EHR_Export!A72</f>
        <v>100071</v>
      </c>
      <c r="B75" s="12" t="str">
        <f aca="false">EHR_Export!B72</f>
        <v>Dr. B. Chen</v>
      </c>
      <c r="C75" s="12" t="str">
        <f aca="false">EHR_Export!C72</f>
        <v>Nephrology</v>
      </c>
      <c r="D75" s="12" t="str">
        <f aca="false">EHR_Export!D72</f>
        <v>2025-02-05</v>
      </c>
      <c r="E75" s="12" t="str">
        <f aca="false">EHR_Export!E72</f>
        <v>99213</v>
      </c>
      <c r="F75" s="7" t="str">
        <f aca="false">INDEX(Billing_Export!$B$2:$B$221,MATCH(A75,Billing_Export!$A$2:$A$221,0))</f>
        <v>Commercial - Blue Shield</v>
      </c>
      <c r="G75" s="14" t="n">
        <f aca="false">INDEX(Billing_Export!$C$2:$C$221,MATCH(A75,Billing_Export!$A$2:$A$221,0))</f>
        <v>175.47</v>
      </c>
      <c r="H75" s="14" t="n">
        <f aca="false">INDEX(Billing_Export!$D$2:$D$221,MATCH(A75,Billing_Export!$A$2:$A$221,0))</f>
        <v>127.87</v>
      </c>
      <c r="I75" s="7" t="str">
        <f aca="false">INDEX(Billing_Export!$E$2:$E$221,MATCH(A75,Billing_Export!$A$2:$A$221,0))</f>
        <v>Paid</v>
      </c>
      <c r="J75" s="7" t="str">
        <f aca="false">INDEX(Billing_Export!$F$2:$F$221,MATCH(A75,Billing_Export!$A$2:$A$221,0))</f>
        <v>None</v>
      </c>
    </row>
    <row r="76" customFormat="false" ht="15" hidden="false" customHeight="false" outlineLevel="0" collapsed="false">
      <c r="A76" s="12" t="n">
        <f aca="false">EHR_Export!A73</f>
        <v>100072</v>
      </c>
      <c r="B76" s="12" t="str">
        <f aca="false">EHR_Export!B73</f>
        <v>Dr. A. Reyes</v>
      </c>
      <c r="C76" s="12" t="str">
        <f aca="false">EHR_Export!C73</f>
        <v>Nephrology</v>
      </c>
      <c r="D76" s="12" t="str">
        <f aca="false">EHR_Export!D73</f>
        <v>2025-02-28</v>
      </c>
      <c r="E76" s="12" t="str">
        <f aca="false">EHR_Export!E73</f>
        <v>99203</v>
      </c>
      <c r="F76" s="7" t="str">
        <f aca="false">INDEX(Billing_Export!$B$2:$B$221,MATCH(A76,Billing_Export!$A$2:$A$221,0))</f>
        <v>Medicare</v>
      </c>
      <c r="G76" s="14" t="n">
        <f aca="false">INDEX(Billing_Export!$C$2:$C$221,MATCH(A76,Billing_Export!$A$2:$A$221,0))</f>
        <v>138.85</v>
      </c>
      <c r="H76" s="14" t="n">
        <f aca="false">INDEX(Billing_Export!$D$2:$D$221,MATCH(A76,Billing_Export!$A$2:$A$221,0))</f>
        <v>109.49</v>
      </c>
      <c r="I76" s="7" t="str">
        <f aca="false">INDEX(Billing_Export!$E$2:$E$221,MATCH(A76,Billing_Export!$A$2:$A$221,0))</f>
        <v>Paid</v>
      </c>
      <c r="J76" s="7" t="str">
        <f aca="false">INDEX(Billing_Export!$F$2:$F$221,MATCH(A76,Billing_Export!$A$2:$A$221,0))</f>
        <v>None</v>
      </c>
    </row>
    <row r="77" customFormat="false" ht="15" hidden="false" customHeight="false" outlineLevel="0" collapsed="false">
      <c r="A77" s="12" t="n">
        <f aca="false">EHR_Export!A74</f>
        <v>100073</v>
      </c>
      <c r="B77" s="12" t="str">
        <f aca="false">EHR_Export!B74</f>
        <v>Dr. D. Nguyen</v>
      </c>
      <c r="C77" s="12" t="str">
        <f aca="false">EHR_Export!C74</f>
        <v>Cardiology</v>
      </c>
      <c r="D77" s="12" t="str">
        <f aca="false">EHR_Export!D74</f>
        <v>2025-02-28</v>
      </c>
      <c r="E77" s="12" t="str">
        <f aca="false">EHR_Export!E74</f>
        <v>99204</v>
      </c>
      <c r="F77" s="7" t="str">
        <f aca="false">INDEX(Billing_Export!$B$2:$B$221,MATCH(A77,Billing_Export!$A$2:$A$221,0))</f>
        <v>Commercial - Blue Shield</v>
      </c>
      <c r="G77" s="14" t="n">
        <f aca="false">INDEX(Billing_Export!$C$2:$C$221,MATCH(A77,Billing_Export!$A$2:$A$221,0))</f>
        <v>343.87</v>
      </c>
      <c r="H77" s="14" t="n">
        <f aca="false">INDEX(Billing_Export!$D$2:$D$221,MATCH(A77,Billing_Export!$A$2:$A$221,0))</f>
        <v>233.42</v>
      </c>
      <c r="I77" s="7" t="str">
        <f aca="false">INDEX(Billing_Export!$E$2:$E$221,MATCH(A77,Billing_Export!$A$2:$A$221,0))</f>
        <v>Paid</v>
      </c>
      <c r="J77" s="7" t="str">
        <f aca="false">INDEX(Billing_Export!$F$2:$F$221,MATCH(A77,Billing_Export!$A$2:$A$221,0))</f>
        <v>None</v>
      </c>
    </row>
    <row r="78" customFormat="false" ht="15" hidden="false" customHeight="false" outlineLevel="0" collapsed="false">
      <c r="A78" s="12" t="n">
        <f aca="false">EHR_Export!A75</f>
        <v>100074</v>
      </c>
      <c r="B78" s="12" t="str">
        <f aca="false">EHR_Export!B75</f>
        <v>Dr. C. Okafor</v>
      </c>
      <c r="C78" s="12" t="str">
        <f aca="false">EHR_Export!C75</f>
        <v>Cardiology</v>
      </c>
      <c r="D78" s="12" t="str">
        <f aca="false">EHR_Export!D75</f>
        <v>2025-07-12</v>
      </c>
      <c r="E78" s="12" t="str">
        <f aca="false">EHR_Export!E75</f>
        <v>99214</v>
      </c>
      <c r="F78" s="7" t="str">
        <f aca="false">INDEX(Billing_Export!$B$2:$B$221,MATCH(A78,Billing_Export!$A$2:$A$221,0))</f>
        <v>Kaiser HMO</v>
      </c>
      <c r="G78" s="14" t="n">
        <f aca="false">INDEX(Billing_Export!$C$2:$C$221,MATCH(A78,Billing_Export!$A$2:$A$221,0))</f>
        <v>193.23</v>
      </c>
      <c r="H78" s="14" t="n">
        <f aca="false">INDEX(Billing_Export!$D$2:$D$221,MATCH(A78,Billing_Export!$A$2:$A$221,0))</f>
        <v>0</v>
      </c>
      <c r="I78" s="7" t="str">
        <f aca="false">INDEX(Billing_Export!$E$2:$E$221,MATCH(A78,Billing_Export!$A$2:$A$221,0))</f>
        <v>Denied</v>
      </c>
      <c r="J78" s="7" t="str">
        <f aca="false">INDEX(Billing_Export!$F$2:$F$221,MATCH(A78,Billing_Export!$A$2:$A$221,0))</f>
        <v>Duplicate Claim</v>
      </c>
    </row>
    <row r="79" customFormat="false" ht="15" hidden="false" customHeight="false" outlineLevel="0" collapsed="false">
      <c r="A79" s="12" t="n">
        <f aca="false">EHR_Export!A76</f>
        <v>100075</v>
      </c>
      <c r="B79" s="12" t="str">
        <f aca="false">EHR_Export!B76</f>
        <v>Dr. G. Kim</v>
      </c>
      <c r="C79" s="12" t="str">
        <f aca="false">EHR_Export!C76</f>
        <v>Endocrinology</v>
      </c>
      <c r="D79" s="12" t="str">
        <f aca="false">EHR_Export!D76</f>
        <v>2025-06-04</v>
      </c>
      <c r="E79" s="12" t="str">
        <f aca="false">EHR_Export!E76</f>
        <v>99214</v>
      </c>
      <c r="F79" s="7" t="str">
        <f aca="false">INDEX(Billing_Export!$B$2:$B$221,MATCH(A79,Billing_Export!$A$2:$A$221,0))</f>
        <v>Medicaid</v>
      </c>
      <c r="G79" s="14" t="n">
        <f aca="false">INDEX(Billing_Export!$C$2:$C$221,MATCH(A79,Billing_Export!$A$2:$A$221,0))</f>
        <v>118.98</v>
      </c>
      <c r="H79" s="14" t="n">
        <f aca="false">INDEX(Billing_Export!$D$2:$D$221,MATCH(A79,Billing_Export!$A$2:$A$221,0))</f>
        <v>84.99</v>
      </c>
      <c r="I79" s="7" t="str">
        <f aca="false">INDEX(Billing_Export!$E$2:$E$221,MATCH(A79,Billing_Export!$A$2:$A$221,0))</f>
        <v>Paid</v>
      </c>
      <c r="J79" s="7" t="str">
        <f aca="false">INDEX(Billing_Export!$F$2:$F$221,MATCH(A79,Billing_Export!$A$2:$A$221,0))</f>
        <v>None</v>
      </c>
    </row>
    <row r="80" customFormat="false" ht="15" hidden="false" customHeight="false" outlineLevel="0" collapsed="false">
      <c r="A80" s="12" t="n">
        <f aca="false">EHR_Export!A77</f>
        <v>100076</v>
      </c>
      <c r="B80" s="12" t="str">
        <f aca="false">EHR_Export!B77</f>
        <v>Dr. B. Chen</v>
      </c>
      <c r="C80" s="12" t="str">
        <f aca="false">EHR_Export!C77</f>
        <v>Nephrology</v>
      </c>
      <c r="D80" s="12" t="str">
        <f aca="false">EHR_Export!D77</f>
        <v>2025-06-24</v>
      </c>
      <c r="E80" s="12" t="str">
        <f aca="false">EHR_Export!E77</f>
        <v>99213</v>
      </c>
      <c r="F80" s="7" t="str">
        <f aca="false">INDEX(Billing_Export!$B$2:$B$221,MATCH(A80,Billing_Export!$A$2:$A$221,0))</f>
        <v>Commercial - Aetna</v>
      </c>
      <c r="G80" s="14" t="n">
        <f aca="false">INDEX(Billing_Export!$C$2:$C$221,MATCH(A80,Billing_Export!$A$2:$A$221,0))</f>
        <v>154.14</v>
      </c>
      <c r="H80" s="14" t="n">
        <f aca="false">INDEX(Billing_Export!$D$2:$D$221,MATCH(A80,Billing_Export!$A$2:$A$221,0))</f>
        <v>118.04</v>
      </c>
      <c r="I80" s="7" t="str">
        <f aca="false">INDEX(Billing_Export!$E$2:$E$221,MATCH(A80,Billing_Export!$A$2:$A$221,0))</f>
        <v>Paid</v>
      </c>
      <c r="J80" s="7" t="str">
        <f aca="false">INDEX(Billing_Export!$F$2:$F$221,MATCH(A80,Billing_Export!$A$2:$A$221,0))</f>
        <v>None</v>
      </c>
    </row>
    <row r="81" customFormat="false" ht="15" hidden="false" customHeight="false" outlineLevel="0" collapsed="false">
      <c r="A81" s="12" t="n">
        <f aca="false">EHR_Export!A78</f>
        <v>100077</v>
      </c>
      <c r="B81" s="12" t="str">
        <f aca="false">EHR_Export!B78</f>
        <v>Dr. A. Reyes</v>
      </c>
      <c r="C81" s="12" t="str">
        <f aca="false">EHR_Export!C78</f>
        <v>Nephrology</v>
      </c>
      <c r="D81" s="12" t="str">
        <f aca="false">EHR_Export!D78</f>
        <v>2025-03-20</v>
      </c>
      <c r="E81" s="12" t="str">
        <f aca="false">EHR_Export!E78</f>
        <v>80053</v>
      </c>
      <c r="F81" s="7" t="str">
        <f aca="false">INDEX(Billing_Export!$B$2:$B$221,MATCH(A81,Billing_Export!$A$2:$A$221,0))</f>
        <v>Commercial - Blue Shield</v>
      </c>
      <c r="G81" s="14" t="n">
        <f aca="false">INDEX(Billing_Export!$C$2:$C$221,MATCH(A81,Billing_Export!$A$2:$A$221,0))</f>
        <v>32.33</v>
      </c>
      <c r="H81" s="14" t="n">
        <f aca="false">INDEX(Billing_Export!$D$2:$D$221,MATCH(A81,Billing_Export!$A$2:$A$221,0))</f>
        <v>0</v>
      </c>
      <c r="I81" s="7" t="str">
        <f aca="false">INDEX(Billing_Export!$E$2:$E$221,MATCH(A81,Billing_Export!$A$2:$A$221,0))</f>
        <v>Denied</v>
      </c>
      <c r="J81" s="7" t="str">
        <f aca="false">INDEX(Billing_Export!$F$2:$F$221,MATCH(A81,Billing_Export!$A$2:$A$221,0))</f>
        <v>Eligibility Not Verified</v>
      </c>
    </row>
    <row r="82" customFormat="false" ht="15" hidden="false" customHeight="false" outlineLevel="0" collapsed="false">
      <c r="A82" s="12" t="n">
        <f aca="false">EHR_Export!A79</f>
        <v>100078</v>
      </c>
      <c r="B82" s="12" t="str">
        <f aca="false">EHR_Export!B79</f>
        <v>Dr. G. Kim</v>
      </c>
      <c r="C82" s="12" t="str">
        <f aca="false">EHR_Export!C79</f>
        <v>Endocrinology</v>
      </c>
      <c r="D82" s="12" t="str">
        <f aca="false">EHR_Export!D79</f>
        <v>2025-09-05</v>
      </c>
      <c r="E82" s="12" t="str">
        <f aca="false">EHR_Export!E79</f>
        <v>93000</v>
      </c>
      <c r="F82" s="7" t="str">
        <f aca="false">INDEX(Billing_Export!$B$2:$B$221,MATCH(A82,Billing_Export!$A$2:$A$221,0))</f>
        <v>Medicaid</v>
      </c>
      <c r="G82" s="14" t="n">
        <f aca="false">INDEX(Billing_Export!$C$2:$C$221,MATCH(A82,Billing_Export!$A$2:$A$221,0))</f>
        <v>34.86</v>
      </c>
      <c r="H82" s="14" t="n">
        <f aca="false">INDEX(Billing_Export!$D$2:$D$221,MATCH(A82,Billing_Export!$A$2:$A$221,0))</f>
        <v>17.77</v>
      </c>
      <c r="I82" s="7" t="str">
        <f aca="false">INDEX(Billing_Export!$E$2:$E$221,MATCH(A82,Billing_Export!$A$2:$A$221,0))</f>
        <v>Paid</v>
      </c>
      <c r="J82" s="7" t="str">
        <f aca="false">INDEX(Billing_Export!$F$2:$F$221,MATCH(A82,Billing_Export!$A$2:$A$221,0))</f>
        <v>None</v>
      </c>
    </row>
    <row r="83" customFormat="false" ht="15" hidden="false" customHeight="false" outlineLevel="0" collapsed="false">
      <c r="A83" s="12" t="n">
        <f aca="false">EHR_Export!A80</f>
        <v>100079</v>
      </c>
      <c r="B83" s="12" t="str">
        <f aca="false">EHR_Export!B80</f>
        <v>Dr. H. Thompson</v>
      </c>
      <c r="C83" s="12" t="str">
        <f aca="false">EHR_Export!C80</f>
        <v>Family Medicine</v>
      </c>
      <c r="D83" s="12" t="str">
        <f aca="false">EHR_Export!D80</f>
        <v>2025-08-19</v>
      </c>
      <c r="E83" s="12" t="str">
        <f aca="false">EHR_Export!E80</f>
        <v>71046</v>
      </c>
      <c r="F83" s="7" t="str">
        <f aca="false">INDEX(Billing_Export!$B$2:$B$221,MATCH(A83,Billing_Export!$A$2:$A$221,0))</f>
        <v>Commercial - Blue Shield</v>
      </c>
      <c r="G83" s="14" t="n">
        <f aca="false">INDEX(Billing_Export!$C$2:$C$221,MATCH(A83,Billing_Export!$A$2:$A$221,0))</f>
        <v>78.79</v>
      </c>
      <c r="H83" s="14" t="n">
        <f aca="false">INDEX(Billing_Export!$D$2:$D$221,MATCH(A83,Billing_Export!$A$2:$A$221,0))</f>
        <v>44.47</v>
      </c>
      <c r="I83" s="7" t="str">
        <f aca="false">INDEX(Billing_Export!$E$2:$E$221,MATCH(A83,Billing_Export!$A$2:$A$221,0))</f>
        <v>Paid</v>
      </c>
      <c r="J83" s="7" t="str">
        <f aca="false">INDEX(Billing_Export!$F$2:$F$221,MATCH(A83,Billing_Export!$A$2:$A$221,0))</f>
        <v>None</v>
      </c>
    </row>
    <row r="84" customFormat="false" ht="15" hidden="false" customHeight="false" outlineLevel="0" collapsed="false">
      <c r="A84" s="12" t="n">
        <f aca="false">EHR_Export!A81</f>
        <v>100080</v>
      </c>
      <c r="B84" s="12" t="str">
        <f aca="false">EHR_Export!B81</f>
        <v>Dr. D. Nguyen</v>
      </c>
      <c r="C84" s="12" t="str">
        <f aca="false">EHR_Export!C81</f>
        <v>Cardiology</v>
      </c>
      <c r="D84" s="12" t="str">
        <f aca="false">EHR_Export!D81</f>
        <v>2025-04-04</v>
      </c>
      <c r="E84" s="12" t="str">
        <f aca="false">EHR_Export!E81</f>
        <v>71046</v>
      </c>
      <c r="F84" s="7" t="str">
        <f aca="false">INDEX(Billing_Export!$B$2:$B$221,MATCH(A84,Billing_Export!$A$2:$A$221,0))</f>
        <v>Commercial - Blue Shield</v>
      </c>
      <c r="G84" s="14" t="n">
        <f aca="false">INDEX(Billing_Export!$C$2:$C$221,MATCH(A84,Billing_Export!$A$2:$A$221,0))</f>
        <v>88.33</v>
      </c>
      <c r="H84" s="14" t="n">
        <f aca="false">INDEX(Billing_Export!$D$2:$D$221,MATCH(A84,Billing_Export!$A$2:$A$221,0))</f>
        <v>63.31</v>
      </c>
      <c r="I84" s="7" t="str">
        <f aca="false">INDEX(Billing_Export!$E$2:$E$221,MATCH(A84,Billing_Export!$A$2:$A$221,0))</f>
        <v>Paid</v>
      </c>
      <c r="J84" s="7" t="str">
        <f aca="false">INDEX(Billing_Export!$F$2:$F$221,MATCH(A84,Billing_Export!$A$2:$A$221,0))</f>
        <v>None</v>
      </c>
    </row>
    <row r="85" customFormat="false" ht="15" hidden="false" customHeight="false" outlineLevel="0" collapsed="false">
      <c r="A85" s="12" t="n">
        <f aca="false">EHR_Export!A82</f>
        <v>100081</v>
      </c>
      <c r="B85" s="12" t="str">
        <f aca="false">EHR_Export!B82</f>
        <v>Dr. H. Thompson</v>
      </c>
      <c r="C85" s="12" t="str">
        <f aca="false">EHR_Export!C82</f>
        <v>Family Medicine</v>
      </c>
      <c r="D85" s="12" t="str">
        <f aca="false">EHR_Export!D82</f>
        <v>2025-05-22</v>
      </c>
      <c r="E85" s="12" t="str">
        <f aca="false">EHR_Export!E82</f>
        <v>90935</v>
      </c>
      <c r="F85" s="7" t="str">
        <f aca="false">INDEX(Billing_Export!$B$2:$B$221,MATCH(A85,Billing_Export!$A$2:$A$221,0))</f>
        <v>Medicaid</v>
      </c>
      <c r="G85" s="14" t="n">
        <f aca="false">INDEX(Billing_Export!$C$2:$C$221,MATCH(A85,Billing_Export!$A$2:$A$221,0))</f>
        <v>144.87</v>
      </c>
      <c r="H85" s="14" t="n">
        <f aca="false">INDEX(Billing_Export!$D$2:$D$221,MATCH(A85,Billing_Export!$A$2:$A$221,0))</f>
        <v>110.9</v>
      </c>
      <c r="I85" s="7" t="str">
        <f aca="false">INDEX(Billing_Export!$E$2:$E$221,MATCH(A85,Billing_Export!$A$2:$A$221,0))</f>
        <v>Paid</v>
      </c>
      <c r="J85" s="7" t="str">
        <f aca="false">INDEX(Billing_Export!$F$2:$F$221,MATCH(A85,Billing_Export!$A$2:$A$221,0))</f>
        <v>None</v>
      </c>
    </row>
    <row r="86" customFormat="false" ht="15" hidden="false" customHeight="false" outlineLevel="0" collapsed="false">
      <c r="A86" s="12" t="n">
        <f aca="false">EHR_Export!A83</f>
        <v>100082</v>
      </c>
      <c r="B86" s="12" t="str">
        <f aca="false">EHR_Export!B83</f>
        <v>Dr. A. Reyes</v>
      </c>
      <c r="C86" s="12" t="str">
        <f aca="false">EHR_Export!C83</f>
        <v>Nephrology</v>
      </c>
      <c r="D86" s="12" t="str">
        <f aca="false">EHR_Export!D83</f>
        <v>2025-09-01</v>
      </c>
      <c r="E86" s="12" t="str">
        <f aca="false">EHR_Export!E83</f>
        <v>99203</v>
      </c>
      <c r="F86" s="7" t="str">
        <f aca="false">INDEX(Billing_Export!$B$2:$B$221,MATCH(A86,Billing_Export!$A$2:$A$221,0))</f>
        <v>Commercial - Aetna</v>
      </c>
      <c r="G86" s="14" t="n">
        <f aca="false">INDEX(Billing_Export!$C$2:$C$221,MATCH(A86,Billing_Export!$A$2:$A$221,0))</f>
        <v>172.34</v>
      </c>
      <c r="H86" s="14" t="n">
        <f aca="false">INDEX(Billing_Export!$D$2:$D$221,MATCH(A86,Billing_Export!$A$2:$A$221,0))</f>
        <v>147.25</v>
      </c>
      <c r="I86" s="7" t="str">
        <f aca="false">INDEX(Billing_Export!$E$2:$E$221,MATCH(A86,Billing_Export!$A$2:$A$221,0))</f>
        <v>Paid</v>
      </c>
      <c r="J86" s="7" t="str">
        <f aca="false">INDEX(Billing_Export!$F$2:$F$221,MATCH(A86,Billing_Export!$A$2:$A$221,0))</f>
        <v>None</v>
      </c>
    </row>
    <row r="87" customFormat="false" ht="15" hidden="false" customHeight="false" outlineLevel="0" collapsed="false">
      <c r="A87" s="12" t="n">
        <f aca="false">EHR_Export!A84</f>
        <v>100083</v>
      </c>
      <c r="B87" s="12" t="str">
        <f aca="false">EHR_Export!B84</f>
        <v>Dr. H. Thompson</v>
      </c>
      <c r="C87" s="12" t="str">
        <f aca="false">EHR_Export!C84</f>
        <v>Family Medicine</v>
      </c>
      <c r="D87" s="12" t="str">
        <f aca="false">EHR_Export!D84</f>
        <v>2025-07-08</v>
      </c>
      <c r="E87" s="12" t="str">
        <f aca="false">EHR_Export!E84</f>
        <v>99213</v>
      </c>
      <c r="F87" s="7" t="str">
        <f aca="false">INDEX(Billing_Export!$B$2:$B$221,MATCH(A87,Billing_Export!$A$2:$A$221,0))</f>
        <v>Commercial - Blue Shield</v>
      </c>
      <c r="G87" s="14" t="n">
        <f aca="false">INDEX(Billing_Export!$C$2:$C$221,MATCH(A87,Billing_Export!$A$2:$A$221,0))</f>
        <v>140.64</v>
      </c>
      <c r="H87" s="14" t="n">
        <f aca="false">INDEX(Billing_Export!$D$2:$D$221,MATCH(A87,Billing_Export!$A$2:$A$221,0))</f>
        <v>89.83</v>
      </c>
      <c r="I87" s="7" t="str">
        <f aca="false">INDEX(Billing_Export!$E$2:$E$221,MATCH(A87,Billing_Export!$A$2:$A$221,0))</f>
        <v>Paid</v>
      </c>
      <c r="J87" s="7" t="str">
        <f aca="false">INDEX(Billing_Export!$F$2:$F$221,MATCH(A87,Billing_Export!$A$2:$A$221,0))</f>
        <v>None</v>
      </c>
    </row>
    <row r="88" customFormat="false" ht="15" hidden="false" customHeight="false" outlineLevel="0" collapsed="false">
      <c r="A88" s="12" t="n">
        <f aca="false">EHR_Export!A85</f>
        <v>100084</v>
      </c>
      <c r="B88" s="12" t="str">
        <f aca="false">EHR_Export!B85</f>
        <v>Dr. H. Thompson</v>
      </c>
      <c r="C88" s="12" t="str">
        <f aca="false">EHR_Export!C85</f>
        <v>Family Medicine</v>
      </c>
      <c r="D88" s="12" t="str">
        <f aca="false">EHR_Export!D85</f>
        <v>2025-06-19</v>
      </c>
      <c r="E88" s="12" t="str">
        <f aca="false">EHR_Export!E85</f>
        <v>93000</v>
      </c>
      <c r="F88" s="7" t="str">
        <f aca="false">INDEX(Billing_Export!$B$2:$B$221,MATCH(A88,Billing_Export!$A$2:$A$221,0))</f>
        <v>Commercial - Aetna</v>
      </c>
      <c r="G88" s="14" t="n">
        <f aca="false">INDEX(Billing_Export!$C$2:$C$221,MATCH(A88,Billing_Export!$A$2:$A$221,0))</f>
        <v>57.41</v>
      </c>
      <c r="H88" s="14" t="n">
        <f aca="false">INDEX(Billing_Export!$D$2:$D$221,MATCH(A88,Billing_Export!$A$2:$A$221,0))</f>
        <v>0</v>
      </c>
      <c r="I88" s="7" t="str">
        <f aca="false">INDEX(Billing_Export!$E$2:$E$221,MATCH(A88,Billing_Export!$A$2:$A$221,0))</f>
        <v>Pending</v>
      </c>
      <c r="J88" s="7" t="str">
        <f aca="false">INDEX(Billing_Export!$F$2:$F$221,MATCH(A88,Billing_Export!$A$2:$A$221,0))</f>
        <v>None</v>
      </c>
    </row>
    <row r="89" customFormat="false" ht="15" hidden="false" customHeight="false" outlineLevel="0" collapsed="false">
      <c r="A89" s="12" t="n">
        <f aca="false">EHR_Export!A86</f>
        <v>100085</v>
      </c>
      <c r="B89" s="12" t="str">
        <f aca="false">EHR_Export!B86</f>
        <v>Dr. F. Martinez</v>
      </c>
      <c r="C89" s="12" t="str">
        <f aca="false">EHR_Export!C86</f>
        <v>Internal Medicine</v>
      </c>
      <c r="D89" s="12" t="str">
        <f aca="false">EHR_Export!D86</f>
        <v>2025-04-05</v>
      </c>
      <c r="E89" s="12" t="str">
        <f aca="false">EHR_Export!E86</f>
        <v>99204</v>
      </c>
      <c r="F89" s="7" t="str">
        <f aca="false">INDEX(Billing_Export!$B$2:$B$221,MATCH(A89,Billing_Export!$A$2:$A$221,0))</f>
        <v>Commercial - Blue Shield</v>
      </c>
      <c r="G89" s="14" t="n">
        <f aca="false">INDEX(Billing_Export!$C$2:$C$221,MATCH(A89,Billing_Export!$A$2:$A$221,0))</f>
        <v>296.24</v>
      </c>
      <c r="H89" s="14" t="n">
        <f aca="false">INDEX(Billing_Export!$D$2:$D$221,MATCH(A89,Billing_Export!$A$2:$A$221,0))</f>
        <v>175.52</v>
      </c>
      <c r="I89" s="7" t="str">
        <f aca="false">INDEX(Billing_Export!$E$2:$E$221,MATCH(A89,Billing_Export!$A$2:$A$221,0))</f>
        <v>Paid</v>
      </c>
      <c r="J89" s="7" t="str">
        <f aca="false">INDEX(Billing_Export!$F$2:$F$221,MATCH(A89,Billing_Export!$A$2:$A$221,0))</f>
        <v>None</v>
      </c>
    </row>
    <row r="90" customFormat="false" ht="15" hidden="false" customHeight="false" outlineLevel="0" collapsed="false">
      <c r="A90" s="12" t="n">
        <f aca="false">EHR_Export!A87</f>
        <v>100086</v>
      </c>
      <c r="B90" s="12" t="str">
        <f aca="false">EHR_Export!B87</f>
        <v>Dr. D. Nguyen</v>
      </c>
      <c r="C90" s="12" t="str">
        <f aca="false">EHR_Export!C87</f>
        <v>Cardiology</v>
      </c>
      <c r="D90" s="12" t="str">
        <f aca="false">EHR_Export!D87</f>
        <v>2025-02-21</v>
      </c>
      <c r="E90" s="12" t="str">
        <f aca="false">EHR_Export!E87</f>
        <v>80053</v>
      </c>
      <c r="F90" s="7" t="str">
        <f aca="false">INDEX(Billing_Export!$B$2:$B$221,MATCH(A90,Billing_Export!$A$2:$A$221,0))</f>
        <v>Medicaid</v>
      </c>
      <c r="G90" s="14" t="n">
        <f aca="false">INDEX(Billing_Export!$C$2:$C$221,MATCH(A90,Billing_Export!$A$2:$A$221,0))</f>
        <v>17.84</v>
      </c>
      <c r="H90" s="14" t="n">
        <f aca="false">INDEX(Billing_Export!$D$2:$D$221,MATCH(A90,Billing_Export!$A$2:$A$221,0))</f>
        <v>11.47</v>
      </c>
      <c r="I90" s="7" t="str">
        <f aca="false">INDEX(Billing_Export!$E$2:$E$221,MATCH(A90,Billing_Export!$A$2:$A$221,0))</f>
        <v>Paid</v>
      </c>
      <c r="J90" s="7" t="str">
        <f aca="false">INDEX(Billing_Export!$F$2:$F$221,MATCH(A90,Billing_Export!$A$2:$A$221,0))</f>
        <v>None</v>
      </c>
    </row>
    <row r="91" customFormat="false" ht="15" hidden="false" customHeight="false" outlineLevel="0" collapsed="false">
      <c r="A91" s="12" t="n">
        <f aca="false">EHR_Export!A88</f>
        <v>100087</v>
      </c>
      <c r="B91" s="12" t="str">
        <f aca="false">EHR_Export!B88</f>
        <v>Dr. D. Nguyen</v>
      </c>
      <c r="C91" s="12" t="str">
        <f aca="false">EHR_Export!C88</f>
        <v>Cardiology</v>
      </c>
      <c r="D91" s="12" t="str">
        <f aca="false">EHR_Export!D88</f>
        <v>2025-01-24</v>
      </c>
      <c r="E91" s="12" t="str">
        <f aca="false">EHR_Export!E88</f>
        <v>99203</v>
      </c>
      <c r="F91" s="7" t="str">
        <f aca="false">INDEX(Billing_Export!$B$2:$B$221,MATCH(A91,Billing_Export!$A$2:$A$221,0))</f>
        <v>Kaiser HMO</v>
      </c>
      <c r="G91" s="14" t="n">
        <f aca="false">INDEX(Billing_Export!$C$2:$C$221,MATCH(A91,Billing_Export!$A$2:$A$221,0))</f>
        <v>157.49</v>
      </c>
      <c r="H91" s="14" t="n">
        <f aca="false">INDEX(Billing_Export!$D$2:$D$221,MATCH(A91,Billing_Export!$A$2:$A$221,0))</f>
        <v>87.04</v>
      </c>
      <c r="I91" s="7" t="str">
        <f aca="false">INDEX(Billing_Export!$E$2:$E$221,MATCH(A91,Billing_Export!$A$2:$A$221,0))</f>
        <v>Paid</v>
      </c>
      <c r="J91" s="7" t="str">
        <f aca="false">INDEX(Billing_Export!$F$2:$F$221,MATCH(A91,Billing_Export!$A$2:$A$221,0))</f>
        <v>None</v>
      </c>
    </row>
    <row r="92" customFormat="false" ht="15" hidden="false" customHeight="false" outlineLevel="0" collapsed="false">
      <c r="A92" s="12" t="n">
        <f aca="false">EHR_Export!A89</f>
        <v>100088</v>
      </c>
      <c r="B92" s="12" t="str">
        <f aca="false">EHR_Export!B89</f>
        <v>Dr. A. Reyes</v>
      </c>
      <c r="C92" s="12" t="str">
        <f aca="false">EHR_Export!C89</f>
        <v>Nephrology</v>
      </c>
      <c r="D92" s="12" t="str">
        <f aca="false">EHR_Export!D89</f>
        <v>2025-01-07</v>
      </c>
      <c r="E92" s="12" t="str">
        <f aca="false">EHR_Export!E89</f>
        <v>99204</v>
      </c>
      <c r="F92" s="7" t="str">
        <f aca="false">INDEX(Billing_Export!$B$2:$B$221,MATCH(A92,Billing_Export!$A$2:$A$221,0))</f>
        <v>Commercial - Aetna</v>
      </c>
      <c r="G92" s="14" t="n">
        <f aca="false">INDEX(Billing_Export!$C$2:$C$221,MATCH(A92,Billing_Export!$A$2:$A$221,0))</f>
        <v>336.68</v>
      </c>
      <c r="H92" s="14" t="n">
        <f aca="false">INDEX(Billing_Export!$D$2:$D$221,MATCH(A92,Billing_Export!$A$2:$A$221,0))</f>
        <v>258.44</v>
      </c>
      <c r="I92" s="7" t="str">
        <f aca="false">INDEX(Billing_Export!$E$2:$E$221,MATCH(A92,Billing_Export!$A$2:$A$221,0))</f>
        <v>Paid</v>
      </c>
      <c r="J92" s="7" t="str">
        <f aca="false">INDEX(Billing_Export!$F$2:$F$221,MATCH(A92,Billing_Export!$A$2:$A$221,0))</f>
        <v>None</v>
      </c>
    </row>
    <row r="93" customFormat="false" ht="15" hidden="false" customHeight="false" outlineLevel="0" collapsed="false">
      <c r="A93" s="12" t="n">
        <f aca="false">EHR_Export!A90</f>
        <v>100089</v>
      </c>
      <c r="B93" s="12" t="str">
        <f aca="false">EHR_Export!B90</f>
        <v>Dr. E. Patel</v>
      </c>
      <c r="C93" s="12" t="str">
        <f aca="false">EHR_Export!C90</f>
        <v>Internal Medicine</v>
      </c>
      <c r="D93" s="12" t="str">
        <f aca="false">EHR_Export!D90</f>
        <v>2025-09-02</v>
      </c>
      <c r="E93" s="12" t="str">
        <f aca="false">EHR_Export!E90</f>
        <v>80053</v>
      </c>
      <c r="F93" s="7" t="str">
        <f aca="false">INDEX(Billing_Export!$B$2:$B$221,MATCH(A93,Billing_Export!$A$2:$A$221,0))</f>
        <v>Commercial - Blue Shield</v>
      </c>
      <c r="G93" s="14" t="n">
        <f aca="false">INDEX(Billing_Export!$C$2:$C$221,MATCH(A93,Billing_Export!$A$2:$A$221,0))</f>
        <v>36.4</v>
      </c>
      <c r="H93" s="14" t="n">
        <f aca="false">INDEX(Billing_Export!$D$2:$D$221,MATCH(A93,Billing_Export!$A$2:$A$221,0))</f>
        <v>27.71</v>
      </c>
      <c r="I93" s="7" t="str">
        <f aca="false">INDEX(Billing_Export!$E$2:$E$221,MATCH(A93,Billing_Export!$A$2:$A$221,0))</f>
        <v>Paid</v>
      </c>
      <c r="J93" s="7" t="str">
        <f aca="false">INDEX(Billing_Export!$F$2:$F$221,MATCH(A93,Billing_Export!$A$2:$A$221,0))</f>
        <v>None</v>
      </c>
    </row>
    <row r="94" customFormat="false" ht="15" hidden="false" customHeight="false" outlineLevel="0" collapsed="false">
      <c r="A94" s="12" t="n">
        <f aca="false">EHR_Export!A91</f>
        <v>100090</v>
      </c>
      <c r="B94" s="12" t="str">
        <f aca="false">EHR_Export!B91</f>
        <v>Dr. B. Chen</v>
      </c>
      <c r="C94" s="12" t="str">
        <f aca="false">EHR_Export!C91</f>
        <v>Nephrology</v>
      </c>
      <c r="D94" s="12" t="str">
        <f aca="false">EHR_Export!D91</f>
        <v>2025-06-05</v>
      </c>
      <c r="E94" s="12" t="str">
        <f aca="false">EHR_Export!E91</f>
        <v>36415</v>
      </c>
      <c r="F94" s="7" t="str">
        <f aca="false">INDEX(Billing_Export!$B$2:$B$221,MATCH(A94,Billing_Export!$A$2:$A$221,0))</f>
        <v>Medicare</v>
      </c>
      <c r="G94" s="14" t="n">
        <f aca="false">INDEX(Billing_Export!$C$2:$C$221,MATCH(A94,Billing_Export!$A$2:$A$221,0))</f>
        <v>16.46</v>
      </c>
      <c r="H94" s="14" t="n">
        <f aca="false">INDEX(Billing_Export!$D$2:$D$221,MATCH(A94,Billing_Export!$A$2:$A$221,0))</f>
        <v>8.76</v>
      </c>
      <c r="I94" s="7" t="str">
        <f aca="false">INDEX(Billing_Export!$E$2:$E$221,MATCH(A94,Billing_Export!$A$2:$A$221,0))</f>
        <v>Paid</v>
      </c>
      <c r="J94" s="7" t="str">
        <f aca="false">INDEX(Billing_Export!$F$2:$F$221,MATCH(A94,Billing_Export!$A$2:$A$221,0))</f>
        <v>None</v>
      </c>
    </row>
    <row r="95" customFormat="false" ht="15" hidden="false" customHeight="false" outlineLevel="0" collapsed="false">
      <c r="A95" s="12" t="n">
        <f aca="false">EHR_Export!A92</f>
        <v>100091</v>
      </c>
      <c r="B95" s="12" t="str">
        <f aca="false">EHR_Export!B92</f>
        <v>Dr. B. Chen</v>
      </c>
      <c r="C95" s="12" t="str">
        <f aca="false">EHR_Export!C92</f>
        <v>Nephrology</v>
      </c>
      <c r="D95" s="12" t="str">
        <f aca="false">EHR_Export!D92</f>
        <v>2025-09-25</v>
      </c>
      <c r="E95" s="12" t="str">
        <f aca="false">EHR_Export!E92</f>
        <v>99214</v>
      </c>
      <c r="F95" s="7" t="str">
        <f aca="false">INDEX(Billing_Export!$B$2:$B$221,MATCH(A95,Billing_Export!$A$2:$A$221,0))</f>
        <v>Medicaid</v>
      </c>
      <c r="G95" s="14" t="n">
        <f aca="false">INDEX(Billing_Export!$C$2:$C$221,MATCH(A95,Billing_Export!$A$2:$A$221,0))</f>
        <v>117.7</v>
      </c>
      <c r="H95" s="14" t="n">
        <f aca="false">INDEX(Billing_Export!$D$2:$D$221,MATCH(A95,Billing_Export!$A$2:$A$221,0))</f>
        <v>84.6</v>
      </c>
      <c r="I95" s="7" t="str">
        <f aca="false">INDEX(Billing_Export!$E$2:$E$221,MATCH(A95,Billing_Export!$A$2:$A$221,0))</f>
        <v>Paid</v>
      </c>
      <c r="J95" s="7" t="str">
        <f aca="false">INDEX(Billing_Export!$F$2:$F$221,MATCH(A95,Billing_Export!$A$2:$A$221,0))</f>
        <v>None</v>
      </c>
    </row>
    <row r="96" customFormat="false" ht="15" hidden="false" customHeight="false" outlineLevel="0" collapsed="false">
      <c r="A96" s="12" t="n">
        <f aca="false">EHR_Export!A93</f>
        <v>100092</v>
      </c>
      <c r="B96" s="12" t="str">
        <f aca="false">EHR_Export!B93</f>
        <v>Dr. G. Kim</v>
      </c>
      <c r="C96" s="12" t="str">
        <f aca="false">EHR_Export!C93</f>
        <v>Endocrinology</v>
      </c>
      <c r="D96" s="12" t="str">
        <f aca="false">EHR_Export!D93</f>
        <v>2025-01-31</v>
      </c>
      <c r="E96" s="12" t="str">
        <f aca="false">EHR_Export!E93</f>
        <v>80053</v>
      </c>
      <c r="F96" s="7" t="str">
        <f aca="false">INDEX(Billing_Export!$B$2:$B$221,MATCH(A96,Billing_Export!$A$2:$A$221,0))</f>
        <v>Commercial - Blue Shield</v>
      </c>
      <c r="G96" s="14" t="n">
        <f aca="false">INDEX(Billing_Export!$C$2:$C$221,MATCH(A96,Billing_Export!$A$2:$A$221,0))</f>
        <v>34.66</v>
      </c>
      <c r="H96" s="14" t="n">
        <f aca="false">INDEX(Billing_Export!$D$2:$D$221,MATCH(A96,Billing_Export!$A$2:$A$221,0))</f>
        <v>27.11</v>
      </c>
      <c r="I96" s="7" t="str">
        <f aca="false">INDEX(Billing_Export!$E$2:$E$221,MATCH(A96,Billing_Export!$A$2:$A$221,0))</f>
        <v>Paid</v>
      </c>
      <c r="J96" s="7" t="str">
        <f aca="false">INDEX(Billing_Export!$F$2:$F$221,MATCH(A96,Billing_Export!$A$2:$A$221,0))</f>
        <v>None</v>
      </c>
    </row>
    <row r="97" customFormat="false" ht="15" hidden="false" customHeight="false" outlineLevel="0" collapsed="false">
      <c r="A97" s="12" t="n">
        <f aca="false">EHR_Export!A94</f>
        <v>100093</v>
      </c>
      <c r="B97" s="12" t="str">
        <f aca="false">EHR_Export!B94</f>
        <v>Dr. B. Chen</v>
      </c>
      <c r="C97" s="12" t="str">
        <f aca="false">EHR_Export!C94</f>
        <v>Nephrology</v>
      </c>
      <c r="D97" s="12" t="str">
        <f aca="false">EHR_Export!D94</f>
        <v>2025-03-22</v>
      </c>
      <c r="E97" s="12" t="str">
        <f aca="false">EHR_Export!E94</f>
        <v>99203</v>
      </c>
      <c r="F97" s="7" t="str">
        <f aca="false">INDEX(Billing_Export!$B$2:$B$221,MATCH(A97,Billing_Export!$A$2:$A$221,0))</f>
        <v>Medicaid</v>
      </c>
      <c r="G97" s="14" t="n">
        <f aca="false">INDEX(Billing_Export!$C$2:$C$221,MATCH(A97,Billing_Export!$A$2:$A$221,0))</f>
        <v>93.91</v>
      </c>
      <c r="H97" s="14" t="n">
        <f aca="false">INDEX(Billing_Export!$D$2:$D$221,MATCH(A97,Billing_Export!$A$2:$A$221,0))</f>
        <v>74.23</v>
      </c>
      <c r="I97" s="7" t="str">
        <f aca="false">INDEX(Billing_Export!$E$2:$E$221,MATCH(A97,Billing_Export!$A$2:$A$221,0))</f>
        <v>Paid</v>
      </c>
      <c r="J97" s="7" t="str">
        <f aca="false">INDEX(Billing_Export!$F$2:$F$221,MATCH(A97,Billing_Export!$A$2:$A$221,0))</f>
        <v>None</v>
      </c>
    </row>
    <row r="98" customFormat="false" ht="15" hidden="false" customHeight="false" outlineLevel="0" collapsed="false">
      <c r="A98" s="12" t="n">
        <f aca="false">EHR_Export!A95</f>
        <v>100094</v>
      </c>
      <c r="B98" s="12" t="str">
        <f aca="false">EHR_Export!B95</f>
        <v>Dr. A. Reyes</v>
      </c>
      <c r="C98" s="12" t="str">
        <f aca="false">EHR_Export!C95</f>
        <v>Nephrology</v>
      </c>
      <c r="D98" s="12" t="str">
        <f aca="false">EHR_Export!D95</f>
        <v>2025-05-25</v>
      </c>
      <c r="E98" s="12" t="str">
        <f aca="false">EHR_Export!E95</f>
        <v>80053</v>
      </c>
      <c r="F98" s="7" t="str">
        <f aca="false">INDEX(Billing_Export!$B$2:$B$221,MATCH(A98,Billing_Export!$A$2:$A$221,0))</f>
        <v>Commercial - Blue Shield</v>
      </c>
      <c r="G98" s="14" t="n">
        <f aca="false">INDEX(Billing_Export!$C$2:$C$221,MATCH(A98,Billing_Export!$A$2:$A$221,0))</f>
        <v>39.43</v>
      </c>
      <c r="H98" s="14" t="n">
        <f aca="false">INDEX(Billing_Export!$D$2:$D$221,MATCH(A98,Billing_Export!$A$2:$A$221,0))</f>
        <v>26.66</v>
      </c>
      <c r="I98" s="7" t="str">
        <f aca="false">INDEX(Billing_Export!$E$2:$E$221,MATCH(A98,Billing_Export!$A$2:$A$221,0))</f>
        <v>Paid</v>
      </c>
      <c r="J98" s="7" t="str">
        <f aca="false">INDEX(Billing_Export!$F$2:$F$221,MATCH(A98,Billing_Export!$A$2:$A$221,0))</f>
        <v>None</v>
      </c>
    </row>
    <row r="99" customFormat="false" ht="15" hidden="false" customHeight="false" outlineLevel="0" collapsed="false">
      <c r="A99" s="12" t="n">
        <f aca="false">EHR_Export!A96</f>
        <v>100095</v>
      </c>
      <c r="B99" s="12" t="str">
        <f aca="false">EHR_Export!B96</f>
        <v>Dr. H. Thompson</v>
      </c>
      <c r="C99" s="12" t="str">
        <f aca="false">EHR_Export!C96</f>
        <v>Family Medicine</v>
      </c>
      <c r="D99" s="12" t="str">
        <f aca="false">EHR_Export!D96</f>
        <v>2025-04-12</v>
      </c>
      <c r="E99" s="12" t="str">
        <f aca="false">EHR_Export!E96</f>
        <v>99203</v>
      </c>
      <c r="F99" s="7" t="str">
        <f aca="false">INDEX(Billing_Export!$B$2:$B$221,MATCH(A99,Billing_Export!$A$2:$A$221,0))</f>
        <v>Medicare</v>
      </c>
      <c r="G99" s="14" t="n">
        <f aca="false">INDEX(Billing_Export!$C$2:$C$221,MATCH(A99,Billing_Export!$A$2:$A$221,0))</f>
        <v>175.37</v>
      </c>
      <c r="H99" s="14" t="n">
        <f aca="false">INDEX(Billing_Export!$D$2:$D$221,MATCH(A99,Billing_Export!$A$2:$A$221,0))</f>
        <v>113.08</v>
      </c>
      <c r="I99" s="7" t="str">
        <f aca="false">INDEX(Billing_Export!$E$2:$E$221,MATCH(A99,Billing_Export!$A$2:$A$221,0))</f>
        <v>Paid</v>
      </c>
      <c r="J99" s="7" t="str">
        <f aca="false">INDEX(Billing_Export!$F$2:$F$221,MATCH(A99,Billing_Export!$A$2:$A$221,0))</f>
        <v>None</v>
      </c>
    </row>
    <row r="100" customFormat="false" ht="15" hidden="false" customHeight="false" outlineLevel="0" collapsed="false">
      <c r="A100" s="12" t="n">
        <f aca="false">EHR_Export!A97</f>
        <v>100096</v>
      </c>
      <c r="B100" s="12" t="str">
        <f aca="false">EHR_Export!B97</f>
        <v>Dr. G. Kim</v>
      </c>
      <c r="C100" s="12" t="str">
        <f aca="false">EHR_Export!C97</f>
        <v>Endocrinology</v>
      </c>
      <c r="D100" s="12" t="str">
        <f aca="false">EHR_Export!D97</f>
        <v>2025-01-31</v>
      </c>
      <c r="E100" s="12" t="str">
        <f aca="false">EHR_Export!E97</f>
        <v>93000</v>
      </c>
      <c r="F100" s="7" t="str">
        <f aca="false">INDEX(Billing_Export!$B$2:$B$221,MATCH(A100,Billing_Export!$A$2:$A$221,0))</f>
        <v>Medicare</v>
      </c>
      <c r="G100" s="14" t="n">
        <f aca="false">INDEX(Billing_Export!$C$2:$C$221,MATCH(A100,Billing_Export!$A$2:$A$221,0))</f>
        <v>42.54</v>
      </c>
      <c r="H100" s="14" t="n">
        <f aca="false">INDEX(Billing_Export!$D$2:$D$221,MATCH(A100,Billing_Export!$A$2:$A$221,0))</f>
        <v>33.27</v>
      </c>
      <c r="I100" s="7" t="str">
        <f aca="false">INDEX(Billing_Export!$E$2:$E$221,MATCH(A100,Billing_Export!$A$2:$A$221,0))</f>
        <v>Paid</v>
      </c>
      <c r="J100" s="7" t="str">
        <f aca="false">INDEX(Billing_Export!$F$2:$F$221,MATCH(A100,Billing_Export!$A$2:$A$221,0))</f>
        <v>None</v>
      </c>
    </row>
    <row r="101" customFormat="false" ht="15" hidden="false" customHeight="false" outlineLevel="0" collapsed="false">
      <c r="A101" s="12" t="n">
        <f aca="false">EHR_Export!A98</f>
        <v>100097</v>
      </c>
      <c r="B101" s="12" t="str">
        <f aca="false">EHR_Export!B98</f>
        <v>Dr. C. Okafor</v>
      </c>
      <c r="C101" s="12" t="str">
        <f aca="false">EHR_Export!C98</f>
        <v>Cardiology</v>
      </c>
      <c r="D101" s="12" t="str">
        <f aca="false">EHR_Export!D98</f>
        <v>2025-06-05</v>
      </c>
      <c r="E101" s="12" t="str">
        <f aca="false">EHR_Export!E98</f>
        <v>71046</v>
      </c>
      <c r="F101" s="7" t="str">
        <f aca="false">INDEX(Billing_Export!$B$2:$B$221,MATCH(A101,Billing_Export!$A$2:$A$221,0))</f>
        <v>Kaiser HMO</v>
      </c>
      <c r="G101" s="14" t="n">
        <f aca="false">INDEX(Billing_Export!$C$2:$C$221,MATCH(A101,Billing_Export!$A$2:$A$221,0))</f>
        <v>75.84</v>
      </c>
      <c r="H101" s="14" t="n">
        <f aca="false">INDEX(Billing_Export!$D$2:$D$221,MATCH(A101,Billing_Export!$A$2:$A$221,0))</f>
        <v>49.85</v>
      </c>
      <c r="I101" s="7" t="str">
        <f aca="false">INDEX(Billing_Export!$E$2:$E$221,MATCH(A101,Billing_Export!$A$2:$A$221,0))</f>
        <v>Paid</v>
      </c>
      <c r="J101" s="7" t="str">
        <f aca="false">INDEX(Billing_Export!$F$2:$F$221,MATCH(A101,Billing_Export!$A$2:$A$221,0))</f>
        <v>None</v>
      </c>
    </row>
    <row r="102" customFormat="false" ht="15" hidden="false" customHeight="false" outlineLevel="0" collapsed="false">
      <c r="A102" s="12" t="n">
        <f aca="false">EHR_Export!A99</f>
        <v>100098</v>
      </c>
      <c r="B102" s="12" t="str">
        <f aca="false">EHR_Export!B99</f>
        <v>Dr. G. Kim</v>
      </c>
      <c r="C102" s="12" t="str">
        <f aca="false">EHR_Export!C99</f>
        <v>Endocrinology</v>
      </c>
      <c r="D102" s="12" t="str">
        <f aca="false">EHR_Export!D99</f>
        <v>2025-06-15</v>
      </c>
      <c r="E102" s="12" t="str">
        <f aca="false">EHR_Export!E99</f>
        <v>93000</v>
      </c>
      <c r="F102" s="7" t="str">
        <f aca="false">INDEX(Billing_Export!$B$2:$B$221,MATCH(A102,Billing_Export!$A$2:$A$221,0))</f>
        <v>Kaiser HMO</v>
      </c>
      <c r="G102" s="14" t="n">
        <f aca="false">INDEX(Billing_Export!$C$2:$C$221,MATCH(A102,Billing_Export!$A$2:$A$221,0))</f>
        <v>50.15</v>
      </c>
      <c r="H102" s="14" t="n">
        <f aca="false">INDEX(Billing_Export!$D$2:$D$221,MATCH(A102,Billing_Export!$A$2:$A$221,0))</f>
        <v>36.84</v>
      </c>
      <c r="I102" s="7" t="str">
        <f aca="false">INDEX(Billing_Export!$E$2:$E$221,MATCH(A102,Billing_Export!$A$2:$A$221,0))</f>
        <v>Paid</v>
      </c>
      <c r="J102" s="7" t="str">
        <f aca="false">INDEX(Billing_Export!$F$2:$F$221,MATCH(A102,Billing_Export!$A$2:$A$221,0))</f>
        <v>None</v>
      </c>
    </row>
    <row r="103" customFormat="false" ht="15" hidden="false" customHeight="false" outlineLevel="0" collapsed="false">
      <c r="A103" s="12" t="n">
        <f aca="false">EHR_Export!A100</f>
        <v>100099</v>
      </c>
      <c r="B103" s="12" t="str">
        <f aca="false">EHR_Export!B100</f>
        <v>Dr. E. Patel</v>
      </c>
      <c r="C103" s="12" t="str">
        <f aca="false">EHR_Export!C100</f>
        <v>Internal Medicine</v>
      </c>
      <c r="D103" s="12" t="str">
        <f aca="false">EHR_Export!D100</f>
        <v>2025-01-11</v>
      </c>
      <c r="E103" s="12" t="str">
        <f aca="false">EHR_Export!E100</f>
        <v>99214</v>
      </c>
      <c r="F103" s="7" t="str">
        <f aca="false">INDEX(Billing_Export!$B$2:$B$221,MATCH(A103,Billing_Export!$A$2:$A$221,0))</f>
        <v>Medicare</v>
      </c>
      <c r="G103" s="14" t="n">
        <f aca="false">INDEX(Billing_Export!$C$2:$C$221,MATCH(A103,Billing_Export!$A$2:$A$221,0))</f>
        <v>160.39</v>
      </c>
      <c r="H103" s="14" t="n">
        <f aca="false">INDEX(Billing_Export!$D$2:$D$221,MATCH(A103,Billing_Export!$A$2:$A$221,0))</f>
        <v>145.67</v>
      </c>
      <c r="I103" s="7" t="str">
        <f aca="false">INDEX(Billing_Export!$E$2:$E$221,MATCH(A103,Billing_Export!$A$2:$A$221,0))</f>
        <v>Paid</v>
      </c>
      <c r="J103" s="7" t="str">
        <f aca="false">INDEX(Billing_Export!$F$2:$F$221,MATCH(A103,Billing_Export!$A$2:$A$221,0))</f>
        <v>None</v>
      </c>
    </row>
    <row r="104" customFormat="false" ht="15" hidden="false" customHeight="false" outlineLevel="0" collapsed="false">
      <c r="A104" s="12" t="n">
        <f aca="false">EHR_Export!A101</f>
        <v>100100</v>
      </c>
      <c r="B104" s="12" t="str">
        <f aca="false">EHR_Export!B101</f>
        <v>Dr. E. Patel</v>
      </c>
      <c r="C104" s="12" t="str">
        <f aca="false">EHR_Export!C101</f>
        <v>Internal Medicine</v>
      </c>
      <c r="D104" s="12" t="str">
        <f aca="false">EHR_Export!D101</f>
        <v>2025-05-23</v>
      </c>
      <c r="E104" s="12" t="str">
        <f aca="false">EHR_Export!E101</f>
        <v>99213</v>
      </c>
      <c r="F104" s="7" t="str">
        <f aca="false">INDEX(Billing_Export!$B$2:$B$221,MATCH(A104,Billing_Export!$A$2:$A$221,0))</f>
        <v>Commercial - Aetna</v>
      </c>
      <c r="G104" s="14" t="n">
        <f aca="false">INDEX(Billing_Export!$C$2:$C$221,MATCH(A104,Billing_Export!$A$2:$A$221,0))</f>
        <v>176.22</v>
      </c>
      <c r="H104" s="14" t="n">
        <f aca="false">INDEX(Billing_Export!$D$2:$D$221,MATCH(A104,Billing_Export!$A$2:$A$221,0))</f>
        <v>117.59</v>
      </c>
      <c r="I104" s="7" t="str">
        <f aca="false">INDEX(Billing_Export!$E$2:$E$221,MATCH(A104,Billing_Export!$A$2:$A$221,0))</f>
        <v>Paid</v>
      </c>
      <c r="J104" s="7" t="str">
        <f aca="false">INDEX(Billing_Export!$F$2:$F$221,MATCH(A104,Billing_Export!$A$2:$A$221,0))</f>
        <v>None</v>
      </c>
    </row>
    <row r="105" customFormat="false" ht="15" hidden="false" customHeight="false" outlineLevel="0" collapsed="false">
      <c r="A105" s="12" t="n">
        <f aca="false">EHR_Export!A102</f>
        <v>100101</v>
      </c>
      <c r="B105" s="12" t="str">
        <f aca="false">EHR_Export!B102</f>
        <v>Dr. C. Okafor</v>
      </c>
      <c r="C105" s="12" t="str">
        <f aca="false">EHR_Export!C102</f>
        <v>Cardiology</v>
      </c>
      <c r="D105" s="12" t="str">
        <f aca="false">EHR_Export!D102</f>
        <v>2025-06-20</v>
      </c>
      <c r="E105" s="12" t="str">
        <f aca="false">EHR_Export!E102</f>
        <v>36415</v>
      </c>
      <c r="F105" s="7" t="str">
        <f aca="false">INDEX(Billing_Export!$B$2:$B$221,MATCH(A105,Billing_Export!$A$2:$A$221,0))</f>
        <v>Commercial - Aetna</v>
      </c>
      <c r="G105" s="14" t="n">
        <f aca="false">INDEX(Billing_Export!$C$2:$C$221,MATCH(A105,Billing_Export!$A$2:$A$221,0))</f>
        <v>22.97</v>
      </c>
      <c r="H105" s="14" t="n">
        <f aca="false">INDEX(Billing_Export!$D$2:$D$221,MATCH(A105,Billing_Export!$A$2:$A$221,0))</f>
        <v>15.85</v>
      </c>
      <c r="I105" s="7" t="str">
        <f aca="false">INDEX(Billing_Export!$E$2:$E$221,MATCH(A105,Billing_Export!$A$2:$A$221,0))</f>
        <v>Paid</v>
      </c>
      <c r="J105" s="7" t="str">
        <f aca="false">INDEX(Billing_Export!$F$2:$F$221,MATCH(A105,Billing_Export!$A$2:$A$221,0))</f>
        <v>None</v>
      </c>
    </row>
    <row r="106" customFormat="false" ht="15" hidden="false" customHeight="false" outlineLevel="0" collapsed="false">
      <c r="A106" s="12" t="n">
        <f aca="false">EHR_Export!A103</f>
        <v>100102</v>
      </c>
      <c r="B106" s="12" t="str">
        <f aca="false">EHR_Export!B103</f>
        <v>Dr. F. Martinez</v>
      </c>
      <c r="C106" s="12" t="str">
        <f aca="false">EHR_Export!C103</f>
        <v>Internal Medicine</v>
      </c>
      <c r="D106" s="12" t="str">
        <f aca="false">EHR_Export!D103</f>
        <v>2025-01-19</v>
      </c>
      <c r="E106" s="12" t="str">
        <f aca="false">EHR_Export!E103</f>
        <v>99215</v>
      </c>
      <c r="F106" s="7" t="str">
        <f aca="false">INDEX(Billing_Export!$B$2:$B$221,MATCH(A106,Billing_Export!$A$2:$A$221,0))</f>
        <v>Medicare</v>
      </c>
      <c r="G106" s="14" t="n">
        <f aca="false">INDEX(Billing_Export!$C$2:$C$221,MATCH(A106,Billing_Export!$A$2:$A$221,0))</f>
        <v>237.61</v>
      </c>
      <c r="H106" s="14" t="n">
        <f aca="false">INDEX(Billing_Export!$D$2:$D$221,MATCH(A106,Billing_Export!$A$2:$A$221,0))</f>
        <v>187.89</v>
      </c>
      <c r="I106" s="7" t="str">
        <f aca="false">INDEX(Billing_Export!$E$2:$E$221,MATCH(A106,Billing_Export!$A$2:$A$221,0))</f>
        <v>Paid</v>
      </c>
      <c r="J106" s="7" t="str">
        <f aca="false">INDEX(Billing_Export!$F$2:$F$221,MATCH(A106,Billing_Export!$A$2:$A$221,0))</f>
        <v>None</v>
      </c>
    </row>
    <row r="107" customFormat="false" ht="15" hidden="false" customHeight="false" outlineLevel="0" collapsed="false">
      <c r="A107" s="12" t="n">
        <f aca="false">EHR_Export!A104</f>
        <v>100103</v>
      </c>
      <c r="B107" s="12" t="str">
        <f aca="false">EHR_Export!B104</f>
        <v>Dr. H. Thompson</v>
      </c>
      <c r="C107" s="12" t="str">
        <f aca="false">EHR_Export!C104</f>
        <v>Family Medicine</v>
      </c>
      <c r="D107" s="12" t="str">
        <f aca="false">EHR_Export!D104</f>
        <v>2025-01-01</v>
      </c>
      <c r="E107" s="12" t="str">
        <f aca="false">EHR_Export!E104</f>
        <v>90935</v>
      </c>
      <c r="F107" s="7" t="str">
        <f aca="false">INDEX(Billing_Export!$B$2:$B$221,MATCH(A107,Billing_Export!$A$2:$A$221,0))</f>
        <v>Medicare</v>
      </c>
      <c r="G107" s="14" t="n">
        <f aca="false">INDEX(Billing_Export!$C$2:$C$221,MATCH(A107,Billing_Export!$A$2:$A$221,0))</f>
        <v>183.22</v>
      </c>
      <c r="H107" s="14" t="n">
        <f aca="false">INDEX(Billing_Export!$D$2:$D$221,MATCH(A107,Billing_Export!$A$2:$A$221,0))</f>
        <v>126.58</v>
      </c>
      <c r="I107" s="7" t="str">
        <f aca="false">INDEX(Billing_Export!$E$2:$E$221,MATCH(A107,Billing_Export!$A$2:$A$221,0))</f>
        <v>Paid</v>
      </c>
      <c r="J107" s="7" t="str">
        <f aca="false">INDEX(Billing_Export!$F$2:$F$221,MATCH(A107,Billing_Export!$A$2:$A$221,0))</f>
        <v>None</v>
      </c>
    </row>
    <row r="108" customFormat="false" ht="15" hidden="false" customHeight="false" outlineLevel="0" collapsed="false">
      <c r="A108" s="12" t="n">
        <f aca="false">EHR_Export!A105</f>
        <v>100104</v>
      </c>
      <c r="B108" s="12" t="str">
        <f aca="false">EHR_Export!B105</f>
        <v>Dr. H. Thompson</v>
      </c>
      <c r="C108" s="12" t="str">
        <f aca="false">EHR_Export!C105</f>
        <v>Family Medicine</v>
      </c>
      <c r="D108" s="12" t="str">
        <f aca="false">EHR_Export!D105</f>
        <v>2025-01-27</v>
      </c>
      <c r="E108" s="12" t="str">
        <f aca="false">EHR_Export!E105</f>
        <v>99213</v>
      </c>
      <c r="F108" s="7" t="str">
        <f aca="false">INDEX(Billing_Export!$B$2:$B$221,MATCH(A108,Billing_Export!$A$2:$A$221,0))</f>
        <v>Commercial - Blue Shield</v>
      </c>
      <c r="G108" s="14" t="n">
        <f aca="false">INDEX(Billing_Export!$C$2:$C$221,MATCH(A108,Billing_Export!$A$2:$A$221,0))</f>
        <v>145.66</v>
      </c>
      <c r="H108" s="14" t="n">
        <f aca="false">INDEX(Billing_Export!$D$2:$D$221,MATCH(A108,Billing_Export!$A$2:$A$221,0))</f>
        <v>97.36</v>
      </c>
      <c r="I108" s="7" t="str">
        <f aca="false">INDEX(Billing_Export!$E$2:$E$221,MATCH(A108,Billing_Export!$A$2:$A$221,0))</f>
        <v>Paid</v>
      </c>
      <c r="J108" s="7" t="str">
        <f aca="false">INDEX(Billing_Export!$F$2:$F$221,MATCH(A108,Billing_Export!$A$2:$A$221,0))</f>
        <v>None</v>
      </c>
    </row>
    <row r="109" customFormat="false" ht="15" hidden="false" customHeight="false" outlineLevel="0" collapsed="false">
      <c r="A109" s="12" t="n">
        <f aca="false">EHR_Export!A106</f>
        <v>100105</v>
      </c>
      <c r="B109" s="12" t="str">
        <f aca="false">EHR_Export!B106</f>
        <v>Dr. D. Nguyen</v>
      </c>
      <c r="C109" s="12" t="str">
        <f aca="false">EHR_Export!C106</f>
        <v>Cardiology</v>
      </c>
      <c r="D109" s="12" t="str">
        <f aca="false">EHR_Export!D106</f>
        <v>2025-01-15</v>
      </c>
      <c r="E109" s="12" t="str">
        <f aca="false">EHR_Export!E106</f>
        <v>93000</v>
      </c>
      <c r="F109" s="7" t="str">
        <f aca="false">INDEX(Billing_Export!$B$2:$B$221,MATCH(A109,Billing_Export!$A$2:$A$221,0))</f>
        <v>Kaiser HMO</v>
      </c>
      <c r="G109" s="14" t="n">
        <f aca="false">INDEX(Billing_Export!$C$2:$C$221,MATCH(A109,Billing_Export!$A$2:$A$221,0))</f>
        <v>43.52</v>
      </c>
      <c r="H109" s="14" t="n">
        <f aca="false">INDEX(Billing_Export!$D$2:$D$221,MATCH(A109,Billing_Export!$A$2:$A$221,0))</f>
        <v>40.42</v>
      </c>
      <c r="I109" s="7" t="str">
        <f aca="false">INDEX(Billing_Export!$E$2:$E$221,MATCH(A109,Billing_Export!$A$2:$A$221,0))</f>
        <v>Paid</v>
      </c>
      <c r="J109" s="7" t="str">
        <f aca="false">INDEX(Billing_Export!$F$2:$F$221,MATCH(A109,Billing_Export!$A$2:$A$221,0))</f>
        <v>None</v>
      </c>
    </row>
    <row r="110" customFormat="false" ht="15" hidden="false" customHeight="false" outlineLevel="0" collapsed="false">
      <c r="A110" s="12" t="n">
        <f aca="false">EHR_Export!A107</f>
        <v>100106</v>
      </c>
      <c r="B110" s="12" t="str">
        <f aca="false">EHR_Export!B107</f>
        <v>Dr. D. Nguyen</v>
      </c>
      <c r="C110" s="12" t="str">
        <f aca="false">EHR_Export!C107</f>
        <v>Cardiology</v>
      </c>
      <c r="D110" s="12" t="str">
        <f aca="false">EHR_Export!D107</f>
        <v>2025-02-28</v>
      </c>
      <c r="E110" s="12" t="str">
        <f aca="false">EHR_Export!E107</f>
        <v>99204</v>
      </c>
      <c r="F110" s="7" t="str">
        <f aca="false">INDEX(Billing_Export!$B$2:$B$221,MATCH(A110,Billing_Export!$A$2:$A$221,0))</f>
        <v>Medicaid</v>
      </c>
      <c r="G110" s="14" t="n">
        <f aca="false">INDEX(Billing_Export!$C$2:$C$221,MATCH(A110,Billing_Export!$A$2:$A$221,0))</f>
        <v>164.95</v>
      </c>
      <c r="H110" s="14" t="n">
        <f aca="false">INDEX(Billing_Export!$D$2:$D$221,MATCH(A110,Billing_Export!$A$2:$A$221,0))</f>
        <v>121.49</v>
      </c>
      <c r="I110" s="7" t="str">
        <f aca="false">INDEX(Billing_Export!$E$2:$E$221,MATCH(A110,Billing_Export!$A$2:$A$221,0))</f>
        <v>Paid</v>
      </c>
      <c r="J110" s="7" t="str">
        <f aca="false">INDEX(Billing_Export!$F$2:$F$221,MATCH(A110,Billing_Export!$A$2:$A$221,0))</f>
        <v>None</v>
      </c>
    </row>
    <row r="111" customFormat="false" ht="15" hidden="false" customHeight="false" outlineLevel="0" collapsed="false">
      <c r="A111" s="12" t="n">
        <f aca="false">EHR_Export!A108</f>
        <v>100107</v>
      </c>
      <c r="B111" s="12" t="str">
        <f aca="false">EHR_Export!B108</f>
        <v>Dr. H. Thompson</v>
      </c>
      <c r="C111" s="12" t="str">
        <f aca="false">EHR_Export!C108</f>
        <v>Family Medicine</v>
      </c>
      <c r="D111" s="12" t="str">
        <f aca="false">EHR_Export!D108</f>
        <v>2025-09-05</v>
      </c>
      <c r="E111" s="12" t="str">
        <f aca="false">EHR_Export!E108</f>
        <v>99215</v>
      </c>
      <c r="F111" s="7" t="str">
        <f aca="false">INDEX(Billing_Export!$B$2:$B$221,MATCH(A111,Billing_Export!$A$2:$A$221,0))</f>
        <v>Medicare</v>
      </c>
      <c r="G111" s="14" t="n">
        <f aca="false">INDEX(Billing_Export!$C$2:$C$221,MATCH(A111,Billing_Export!$A$2:$A$221,0))</f>
        <v>251.49</v>
      </c>
      <c r="H111" s="14" t="n">
        <f aca="false">INDEX(Billing_Export!$D$2:$D$221,MATCH(A111,Billing_Export!$A$2:$A$221,0))</f>
        <v>180.51</v>
      </c>
      <c r="I111" s="7" t="str">
        <f aca="false">INDEX(Billing_Export!$E$2:$E$221,MATCH(A111,Billing_Export!$A$2:$A$221,0))</f>
        <v>Paid</v>
      </c>
      <c r="J111" s="7" t="str">
        <f aca="false">INDEX(Billing_Export!$F$2:$F$221,MATCH(A111,Billing_Export!$A$2:$A$221,0))</f>
        <v>None</v>
      </c>
    </row>
    <row r="112" customFormat="false" ht="15" hidden="false" customHeight="false" outlineLevel="0" collapsed="false">
      <c r="A112" s="12" t="n">
        <f aca="false">EHR_Export!A109</f>
        <v>100108</v>
      </c>
      <c r="B112" s="12" t="str">
        <f aca="false">EHR_Export!B109</f>
        <v>Dr. H. Thompson</v>
      </c>
      <c r="C112" s="12" t="str">
        <f aca="false">EHR_Export!C109</f>
        <v>Family Medicine</v>
      </c>
      <c r="D112" s="12" t="str">
        <f aca="false">EHR_Export!D109</f>
        <v>2025-03-11</v>
      </c>
      <c r="E112" s="12" t="str">
        <f aca="false">EHR_Export!E109</f>
        <v>80053</v>
      </c>
      <c r="F112" s="7" t="str">
        <f aca="false">INDEX(Billing_Export!$B$2:$B$221,MATCH(A112,Billing_Export!$A$2:$A$221,0))</f>
        <v>Medicaid</v>
      </c>
      <c r="G112" s="14" t="n">
        <f aca="false">INDEX(Billing_Export!$C$2:$C$221,MATCH(A112,Billing_Export!$A$2:$A$221,0))</f>
        <v>19.57</v>
      </c>
      <c r="H112" s="14" t="n">
        <f aca="false">INDEX(Billing_Export!$D$2:$D$221,MATCH(A112,Billing_Export!$A$2:$A$221,0))</f>
        <v>15.77</v>
      </c>
      <c r="I112" s="7" t="str">
        <f aca="false">INDEX(Billing_Export!$E$2:$E$221,MATCH(A112,Billing_Export!$A$2:$A$221,0))</f>
        <v>Paid</v>
      </c>
      <c r="J112" s="7" t="str">
        <f aca="false">INDEX(Billing_Export!$F$2:$F$221,MATCH(A112,Billing_Export!$A$2:$A$221,0))</f>
        <v>None</v>
      </c>
    </row>
    <row r="113" customFormat="false" ht="15" hidden="false" customHeight="false" outlineLevel="0" collapsed="false">
      <c r="A113" s="12" t="n">
        <f aca="false">EHR_Export!A110</f>
        <v>100109</v>
      </c>
      <c r="B113" s="12" t="str">
        <f aca="false">EHR_Export!B110</f>
        <v>Dr. B. Chen</v>
      </c>
      <c r="C113" s="12" t="str">
        <f aca="false">EHR_Export!C110</f>
        <v>Nephrology</v>
      </c>
      <c r="D113" s="12" t="str">
        <f aca="false">EHR_Export!D110</f>
        <v>2025-06-02</v>
      </c>
      <c r="E113" s="12" t="str">
        <f aca="false">EHR_Export!E110</f>
        <v>36415</v>
      </c>
      <c r="F113" s="7" t="str">
        <f aca="false">INDEX(Billing_Export!$B$2:$B$221,MATCH(A113,Billing_Export!$A$2:$A$221,0))</f>
        <v>Kaiser HMO</v>
      </c>
      <c r="G113" s="14" t="n">
        <f aca="false">INDEX(Billing_Export!$C$2:$C$221,MATCH(A113,Billing_Export!$A$2:$A$221,0))</f>
        <v>16.94</v>
      </c>
      <c r="H113" s="14" t="n">
        <f aca="false">INDEX(Billing_Export!$D$2:$D$221,MATCH(A113,Billing_Export!$A$2:$A$221,0))</f>
        <v>12.61</v>
      </c>
      <c r="I113" s="7" t="str">
        <f aca="false">INDEX(Billing_Export!$E$2:$E$221,MATCH(A113,Billing_Export!$A$2:$A$221,0))</f>
        <v>Paid</v>
      </c>
      <c r="J113" s="7" t="str">
        <f aca="false">INDEX(Billing_Export!$F$2:$F$221,MATCH(A113,Billing_Export!$A$2:$A$221,0))</f>
        <v>None</v>
      </c>
    </row>
    <row r="114" customFormat="false" ht="15" hidden="false" customHeight="false" outlineLevel="0" collapsed="false">
      <c r="A114" s="12" t="n">
        <f aca="false">EHR_Export!A111</f>
        <v>100110</v>
      </c>
      <c r="B114" s="12" t="str">
        <f aca="false">EHR_Export!B111</f>
        <v>Dr. H. Thompson</v>
      </c>
      <c r="C114" s="12" t="str">
        <f aca="false">EHR_Export!C111</f>
        <v>Family Medicine</v>
      </c>
      <c r="D114" s="12" t="str">
        <f aca="false">EHR_Export!D111</f>
        <v>2025-08-22</v>
      </c>
      <c r="E114" s="12" t="str">
        <f aca="false">EHR_Export!E111</f>
        <v>80053</v>
      </c>
      <c r="F114" s="7" t="str">
        <f aca="false">INDEX(Billing_Export!$B$2:$B$221,MATCH(A114,Billing_Export!$A$2:$A$221,0))</f>
        <v>Medicaid</v>
      </c>
      <c r="G114" s="14" t="n">
        <f aca="false">INDEX(Billing_Export!$C$2:$C$221,MATCH(A114,Billing_Export!$A$2:$A$221,0))</f>
        <v>19.49</v>
      </c>
      <c r="H114" s="14" t="n">
        <f aca="false">INDEX(Billing_Export!$D$2:$D$221,MATCH(A114,Billing_Export!$A$2:$A$221,0))</f>
        <v>14.04</v>
      </c>
      <c r="I114" s="7" t="str">
        <f aca="false">INDEX(Billing_Export!$E$2:$E$221,MATCH(A114,Billing_Export!$A$2:$A$221,0))</f>
        <v>Paid</v>
      </c>
      <c r="J114" s="7" t="str">
        <f aca="false">INDEX(Billing_Export!$F$2:$F$221,MATCH(A114,Billing_Export!$A$2:$A$221,0))</f>
        <v>None</v>
      </c>
    </row>
    <row r="115" customFormat="false" ht="15" hidden="false" customHeight="false" outlineLevel="0" collapsed="false">
      <c r="A115" s="12" t="n">
        <f aca="false">EHR_Export!A112</f>
        <v>100111</v>
      </c>
      <c r="B115" s="12" t="str">
        <f aca="false">EHR_Export!B112</f>
        <v>Dr. F. Martinez</v>
      </c>
      <c r="C115" s="12" t="str">
        <f aca="false">EHR_Export!C112</f>
        <v>Internal Medicine</v>
      </c>
      <c r="D115" s="12" t="str">
        <f aca="false">EHR_Export!D112</f>
        <v>2025-08-31</v>
      </c>
      <c r="E115" s="12" t="str">
        <f aca="false">EHR_Export!E112</f>
        <v>99203</v>
      </c>
      <c r="F115" s="7" t="str">
        <f aca="false">INDEX(Billing_Export!$B$2:$B$221,MATCH(A115,Billing_Export!$A$2:$A$221,0))</f>
        <v>Medicaid</v>
      </c>
      <c r="G115" s="14" t="n">
        <f aca="false">INDEX(Billing_Export!$C$2:$C$221,MATCH(A115,Billing_Export!$A$2:$A$221,0))</f>
        <v>104.14</v>
      </c>
      <c r="H115" s="14" t="n">
        <f aca="false">INDEX(Billing_Export!$D$2:$D$221,MATCH(A115,Billing_Export!$A$2:$A$221,0))</f>
        <v>52.45</v>
      </c>
      <c r="I115" s="7" t="str">
        <f aca="false">INDEX(Billing_Export!$E$2:$E$221,MATCH(A115,Billing_Export!$A$2:$A$221,0))</f>
        <v>Paid</v>
      </c>
      <c r="J115" s="7" t="str">
        <f aca="false">INDEX(Billing_Export!$F$2:$F$221,MATCH(A115,Billing_Export!$A$2:$A$221,0))</f>
        <v>None</v>
      </c>
    </row>
    <row r="116" customFormat="false" ht="15" hidden="false" customHeight="false" outlineLevel="0" collapsed="false">
      <c r="A116" s="12" t="n">
        <f aca="false">EHR_Export!A113</f>
        <v>100112</v>
      </c>
      <c r="B116" s="12" t="str">
        <f aca="false">EHR_Export!B113</f>
        <v>Dr. G. Kim</v>
      </c>
      <c r="C116" s="12" t="str">
        <f aca="false">EHR_Export!C113</f>
        <v>Endocrinology</v>
      </c>
      <c r="D116" s="12" t="str">
        <f aca="false">EHR_Export!D113</f>
        <v>2025-02-21</v>
      </c>
      <c r="E116" s="12" t="str">
        <f aca="false">EHR_Export!E113</f>
        <v>99215</v>
      </c>
      <c r="F116" s="7" t="str">
        <f aca="false">INDEX(Billing_Export!$B$2:$B$221,MATCH(A116,Billing_Export!$A$2:$A$221,0))</f>
        <v>Commercial - Blue Shield</v>
      </c>
      <c r="G116" s="14" t="n">
        <f aca="false">INDEX(Billing_Export!$C$2:$C$221,MATCH(A116,Billing_Export!$A$2:$A$221,0))</f>
        <v>324</v>
      </c>
      <c r="H116" s="14" t="n">
        <f aca="false">INDEX(Billing_Export!$D$2:$D$221,MATCH(A116,Billing_Export!$A$2:$A$221,0))</f>
        <v>237.28</v>
      </c>
      <c r="I116" s="7" t="str">
        <f aca="false">INDEX(Billing_Export!$E$2:$E$221,MATCH(A116,Billing_Export!$A$2:$A$221,0))</f>
        <v>Paid</v>
      </c>
      <c r="J116" s="7" t="str">
        <f aca="false">INDEX(Billing_Export!$F$2:$F$221,MATCH(A116,Billing_Export!$A$2:$A$221,0))</f>
        <v>None</v>
      </c>
    </row>
    <row r="117" customFormat="false" ht="15" hidden="false" customHeight="false" outlineLevel="0" collapsed="false">
      <c r="A117" s="12" t="n">
        <f aca="false">EHR_Export!A114</f>
        <v>100113</v>
      </c>
      <c r="B117" s="12" t="str">
        <f aca="false">EHR_Export!B114</f>
        <v>Dr. H. Thompson</v>
      </c>
      <c r="C117" s="12" t="str">
        <f aca="false">EHR_Export!C114</f>
        <v>Family Medicine</v>
      </c>
      <c r="D117" s="12" t="str">
        <f aca="false">EHR_Export!D114</f>
        <v>2025-03-21</v>
      </c>
      <c r="E117" s="12" t="str">
        <f aca="false">EHR_Export!E114</f>
        <v>93000</v>
      </c>
      <c r="F117" s="7" t="str">
        <f aca="false">INDEX(Billing_Export!$B$2:$B$221,MATCH(A117,Billing_Export!$A$2:$A$221,0))</f>
        <v>Medicare</v>
      </c>
      <c r="G117" s="14" t="n">
        <f aca="false">INDEX(Billing_Export!$C$2:$C$221,MATCH(A117,Billing_Export!$A$2:$A$221,0))</f>
        <v>53.03</v>
      </c>
      <c r="H117" s="14" t="n">
        <f aca="false">INDEX(Billing_Export!$D$2:$D$221,MATCH(A117,Billing_Export!$A$2:$A$221,0))</f>
        <v>34.76</v>
      </c>
      <c r="I117" s="7" t="str">
        <f aca="false">INDEX(Billing_Export!$E$2:$E$221,MATCH(A117,Billing_Export!$A$2:$A$221,0))</f>
        <v>Paid</v>
      </c>
      <c r="J117" s="7" t="str">
        <f aca="false">INDEX(Billing_Export!$F$2:$F$221,MATCH(A117,Billing_Export!$A$2:$A$221,0))</f>
        <v>None</v>
      </c>
    </row>
    <row r="118" customFormat="false" ht="15" hidden="false" customHeight="false" outlineLevel="0" collapsed="false">
      <c r="A118" s="12" t="n">
        <f aca="false">EHR_Export!A115</f>
        <v>100114</v>
      </c>
      <c r="B118" s="12" t="str">
        <f aca="false">EHR_Export!B115</f>
        <v>Dr. B. Chen</v>
      </c>
      <c r="C118" s="12" t="str">
        <f aca="false">EHR_Export!C115</f>
        <v>Nephrology</v>
      </c>
      <c r="D118" s="12" t="str">
        <f aca="false">EHR_Export!D115</f>
        <v>2025-07-14</v>
      </c>
      <c r="E118" s="12" t="str">
        <f aca="false">EHR_Export!E115</f>
        <v>99204</v>
      </c>
      <c r="F118" s="7" t="str">
        <f aca="false">INDEX(Billing_Export!$B$2:$B$221,MATCH(A118,Billing_Export!$A$2:$A$221,0))</f>
        <v>Commercial - Blue Shield</v>
      </c>
      <c r="G118" s="14" t="n">
        <f aca="false">INDEX(Billing_Export!$C$2:$C$221,MATCH(A118,Billing_Export!$A$2:$A$221,0))</f>
        <v>299.54</v>
      </c>
      <c r="H118" s="14" t="n">
        <f aca="false">INDEX(Billing_Export!$D$2:$D$221,MATCH(A118,Billing_Export!$A$2:$A$221,0))</f>
        <v>234.85</v>
      </c>
      <c r="I118" s="7" t="str">
        <f aca="false">INDEX(Billing_Export!$E$2:$E$221,MATCH(A118,Billing_Export!$A$2:$A$221,0))</f>
        <v>Paid</v>
      </c>
      <c r="J118" s="7" t="str">
        <f aca="false">INDEX(Billing_Export!$F$2:$F$221,MATCH(A118,Billing_Export!$A$2:$A$221,0))</f>
        <v>None</v>
      </c>
    </row>
    <row r="119" customFormat="false" ht="15" hidden="false" customHeight="false" outlineLevel="0" collapsed="false">
      <c r="A119" s="12" t="n">
        <f aca="false">EHR_Export!A116</f>
        <v>100115</v>
      </c>
      <c r="B119" s="12" t="str">
        <f aca="false">EHR_Export!B116</f>
        <v>Dr. F. Martinez</v>
      </c>
      <c r="C119" s="12" t="str">
        <f aca="false">EHR_Export!C116</f>
        <v>Internal Medicine</v>
      </c>
      <c r="D119" s="12" t="str">
        <f aca="false">EHR_Export!D116</f>
        <v>2025-04-27</v>
      </c>
      <c r="E119" s="12" t="str">
        <f aca="false">EHR_Export!E116</f>
        <v>93000</v>
      </c>
      <c r="F119" s="7" t="str">
        <f aca="false">INDEX(Billing_Export!$B$2:$B$221,MATCH(A119,Billing_Export!$A$2:$A$221,0))</f>
        <v>Commercial - Blue Shield</v>
      </c>
      <c r="G119" s="14" t="n">
        <f aca="false">INDEX(Billing_Export!$C$2:$C$221,MATCH(A119,Billing_Export!$A$2:$A$221,0))</f>
        <v>51.31</v>
      </c>
      <c r="H119" s="14" t="n">
        <f aca="false">INDEX(Billing_Export!$D$2:$D$221,MATCH(A119,Billing_Export!$A$2:$A$221,0))</f>
        <v>45.11</v>
      </c>
      <c r="I119" s="7" t="str">
        <f aca="false">INDEX(Billing_Export!$E$2:$E$221,MATCH(A119,Billing_Export!$A$2:$A$221,0))</f>
        <v>Paid</v>
      </c>
      <c r="J119" s="7" t="str">
        <f aca="false">INDEX(Billing_Export!$F$2:$F$221,MATCH(A119,Billing_Export!$A$2:$A$221,0))</f>
        <v>None</v>
      </c>
    </row>
    <row r="120" customFormat="false" ht="15" hidden="false" customHeight="false" outlineLevel="0" collapsed="false">
      <c r="A120" s="12" t="n">
        <f aca="false">EHR_Export!A117</f>
        <v>100116</v>
      </c>
      <c r="B120" s="12" t="str">
        <f aca="false">EHR_Export!B117</f>
        <v>Dr. B. Chen</v>
      </c>
      <c r="C120" s="12" t="str">
        <f aca="false">EHR_Export!C117</f>
        <v>Nephrology</v>
      </c>
      <c r="D120" s="12" t="str">
        <f aca="false">EHR_Export!D117</f>
        <v>2025-06-03</v>
      </c>
      <c r="E120" s="12" t="str">
        <f aca="false">EHR_Export!E117</f>
        <v>99214</v>
      </c>
      <c r="F120" s="7" t="str">
        <f aca="false">INDEX(Billing_Export!$B$2:$B$221,MATCH(A120,Billing_Export!$A$2:$A$221,0))</f>
        <v>Commercial - Blue Shield</v>
      </c>
      <c r="G120" s="14" t="n">
        <f aca="false">INDEX(Billing_Export!$C$2:$C$221,MATCH(A120,Billing_Export!$A$2:$A$221,0))</f>
        <v>246.21</v>
      </c>
      <c r="H120" s="14" t="n">
        <f aca="false">INDEX(Billing_Export!$D$2:$D$221,MATCH(A120,Billing_Export!$A$2:$A$221,0))</f>
        <v>161.7</v>
      </c>
      <c r="I120" s="7" t="str">
        <f aca="false">INDEX(Billing_Export!$E$2:$E$221,MATCH(A120,Billing_Export!$A$2:$A$221,0))</f>
        <v>Paid</v>
      </c>
      <c r="J120" s="7" t="str">
        <f aca="false">INDEX(Billing_Export!$F$2:$F$221,MATCH(A120,Billing_Export!$A$2:$A$221,0))</f>
        <v>None</v>
      </c>
    </row>
    <row r="121" customFormat="false" ht="15" hidden="false" customHeight="false" outlineLevel="0" collapsed="false">
      <c r="A121" s="12" t="n">
        <f aca="false">EHR_Export!A118</f>
        <v>100117</v>
      </c>
      <c r="B121" s="12" t="str">
        <f aca="false">EHR_Export!B118</f>
        <v>Dr. A. Reyes</v>
      </c>
      <c r="C121" s="12" t="str">
        <f aca="false">EHR_Export!C118</f>
        <v>Nephrology</v>
      </c>
      <c r="D121" s="12" t="str">
        <f aca="false">EHR_Export!D118</f>
        <v>2025-07-30</v>
      </c>
      <c r="E121" s="12" t="str">
        <f aca="false">EHR_Export!E118</f>
        <v>90935</v>
      </c>
      <c r="F121" s="7" t="str">
        <f aca="false">INDEX(Billing_Export!$B$2:$B$221,MATCH(A121,Billing_Export!$A$2:$A$221,0))</f>
        <v>Medicare</v>
      </c>
      <c r="G121" s="14" t="n">
        <f aca="false">INDEX(Billing_Export!$C$2:$C$221,MATCH(A121,Billing_Export!$A$2:$A$221,0))</f>
        <v>218.7</v>
      </c>
      <c r="H121" s="14" t="n">
        <f aca="false">INDEX(Billing_Export!$D$2:$D$221,MATCH(A121,Billing_Export!$A$2:$A$221,0))</f>
        <v>141.92</v>
      </c>
      <c r="I121" s="7" t="str">
        <f aca="false">INDEX(Billing_Export!$E$2:$E$221,MATCH(A121,Billing_Export!$A$2:$A$221,0))</f>
        <v>Paid</v>
      </c>
      <c r="J121" s="7" t="str">
        <f aca="false">INDEX(Billing_Export!$F$2:$F$221,MATCH(A121,Billing_Export!$A$2:$A$221,0))</f>
        <v>None</v>
      </c>
    </row>
    <row r="122" customFormat="false" ht="15" hidden="false" customHeight="false" outlineLevel="0" collapsed="false">
      <c r="A122" s="12" t="n">
        <f aca="false">EHR_Export!A119</f>
        <v>100118</v>
      </c>
      <c r="B122" s="12" t="str">
        <f aca="false">EHR_Export!B119</f>
        <v>Dr. C. Okafor</v>
      </c>
      <c r="C122" s="12" t="str">
        <f aca="false">EHR_Export!C119</f>
        <v>Cardiology</v>
      </c>
      <c r="D122" s="12" t="str">
        <f aca="false">EHR_Export!D119</f>
        <v>2025-03-15</v>
      </c>
      <c r="E122" s="12" t="str">
        <f aca="false">EHR_Export!E119</f>
        <v>99215</v>
      </c>
      <c r="F122" s="7" t="str">
        <f aca="false">INDEX(Billing_Export!$B$2:$B$221,MATCH(A122,Billing_Export!$A$2:$A$221,0))</f>
        <v>Medicaid</v>
      </c>
      <c r="G122" s="14" t="n">
        <f aca="false">INDEX(Billing_Export!$C$2:$C$221,MATCH(A122,Billing_Export!$A$2:$A$221,0))</f>
        <v>143.45</v>
      </c>
      <c r="H122" s="14" t="n">
        <f aca="false">INDEX(Billing_Export!$D$2:$D$221,MATCH(A122,Billing_Export!$A$2:$A$221,0))</f>
        <v>119.12</v>
      </c>
      <c r="I122" s="7" t="str">
        <f aca="false">INDEX(Billing_Export!$E$2:$E$221,MATCH(A122,Billing_Export!$A$2:$A$221,0))</f>
        <v>Paid</v>
      </c>
      <c r="J122" s="7" t="str">
        <f aca="false">INDEX(Billing_Export!$F$2:$F$221,MATCH(A122,Billing_Export!$A$2:$A$221,0))</f>
        <v>None</v>
      </c>
    </row>
    <row r="123" customFormat="false" ht="15" hidden="false" customHeight="false" outlineLevel="0" collapsed="false">
      <c r="A123" s="12" t="n">
        <f aca="false">EHR_Export!A120</f>
        <v>100119</v>
      </c>
      <c r="B123" s="12" t="str">
        <f aca="false">EHR_Export!B120</f>
        <v>Dr. D. Nguyen</v>
      </c>
      <c r="C123" s="12" t="str">
        <f aca="false">EHR_Export!C120</f>
        <v>Cardiology</v>
      </c>
      <c r="D123" s="12" t="str">
        <f aca="false">EHR_Export!D120</f>
        <v>2025-05-28</v>
      </c>
      <c r="E123" s="12" t="str">
        <f aca="false">EHR_Export!E120</f>
        <v>99204</v>
      </c>
      <c r="F123" s="7" t="str">
        <f aca="false">INDEX(Billing_Export!$B$2:$B$221,MATCH(A123,Billing_Export!$A$2:$A$221,0))</f>
        <v>Commercial - Blue Shield</v>
      </c>
      <c r="G123" s="14" t="n">
        <f aca="false">INDEX(Billing_Export!$C$2:$C$221,MATCH(A123,Billing_Export!$A$2:$A$221,0))</f>
        <v>312.07</v>
      </c>
      <c r="H123" s="14" t="n">
        <f aca="false">INDEX(Billing_Export!$D$2:$D$221,MATCH(A123,Billing_Export!$A$2:$A$221,0))</f>
        <v>257.55</v>
      </c>
      <c r="I123" s="7" t="str">
        <f aca="false">INDEX(Billing_Export!$E$2:$E$221,MATCH(A123,Billing_Export!$A$2:$A$221,0))</f>
        <v>Paid</v>
      </c>
      <c r="J123" s="7" t="str">
        <f aca="false">INDEX(Billing_Export!$F$2:$F$221,MATCH(A123,Billing_Export!$A$2:$A$221,0))</f>
        <v>None</v>
      </c>
    </row>
    <row r="124" customFormat="false" ht="15" hidden="false" customHeight="false" outlineLevel="0" collapsed="false">
      <c r="A124" s="12" t="n">
        <f aca="false">EHR_Export!A121</f>
        <v>100120</v>
      </c>
      <c r="B124" s="12" t="str">
        <f aca="false">EHR_Export!B121</f>
        <v>Dr. C. Okafor</v>
      </c>
      <c r="C124" s="12" t="str">
        <f aca="false">EHR_Export!C121</f>
        <v>Cardiology</v>
      </c>
      <c r="D124" s="12" t="str">
        <f aca="false">EHR_Export!D121</f>
        <v>2025-06-03</v>
      </c>
      <c r="E124" s="12" t="str">
        <f aca="false">EHR_Export!E121</f>
        <v>80053</v>
      </c>
      <c r="F124" s="7" t="str">
        <f aca="false">INDEX(Billing_Export!$B$2:$B$221,MATCH(A124,Billing_Export!$A$2:$A$221,0))</f>
        <v>Medicare</v>
      </c>
      <c r="G124" s="14" t="n">
        <f aca="false">INDEX(Billing_Export!$C$2:$C$221,MATCH(A124,Billing_Export!$A$2:$A$221,0))</f>
        <v>33.08</v>
      </c>
      <c r="H124" s="14" t="n">
        <f aca="false">INDEX(Billing_Export!$D$2:$D$221,MATCH(A124,Billing_Export!$A$2:$A$221,0))</f>
        <v>0</v>
      </c>
      <c r="I124" s="7" t="str">
        <f aca="false">INDEX(Billing_Export!$E$2:$E$221,MATCH(A124,Billing_Export!$A$2:$A$221,0))</f>
        <v>Pending</v>
      </c>
      <c r="J124" s="7" t="str">
        <f aca="false">INDEX(Billing_Export!$F$2:$F$221,MATCH(A124,Billing_Export!$A$2:$A$221,0))</f>
        <v>None</v>
      </c>
    </row>
    <row r="125" customFormat="false" ht="15" hidden="false" customHeight="false" outlineLevel="0" collapsed="false">
      <c r="A125" s="12" t="n">
        <f aca="false">EHR_Export!A122</f>
        <v>100121</v>
      </c>
      <c r="B125" s="12" t="str">
        <f aca="false">EHR_Export!B122</f>
        <v>Dr. G. Kim</v>
      </c>
      <c r="C125" s="12" t="str">
        <f aca="false">EHR_Export!C122</f>
        <v>Endocrinology</v>
      </c>
      <c r="D125" s="12" t="str">
        <f aca="false">EHR_Export!D122</f>
        <v>2025-05-02</v>
      </c>
      <c r="E125" s="12" t="str">
        <f aca="false">EHR_Export!E122</f>
        <v>80053</v>
      </c>
      <c r="F125" s="7" t="str">
        <f aca="false">INDEX(Billing_Export!$B$2:$B$221,MATCH(A125,Billing_Export!$A$2:$A$221,0))</f>
        <v>Kaiser HMO</v>
      </c>
      <c r="G125" s="14" t="n">
        <f aca="false">INDEX(Billing_Export!$C$2:$C$221,MATCH(A125,Billing_Export!$A$2:$A$221,0))</f>
        <v>33.67</v>
      </c>
      <c r="H125" s="14" t="n">
        <f aca="false">INDEX(Billing_Export!$D$2:$D$221,MATCH(A125,Billing_Export!$A$2:$A$221,0))</f>
        <v>21.98</v>
      </c>
      <c r="I125" s="7" t="str">
        <f aca="false">INDEX(Billing_Export!$E$2:$E$221,MATCH(A125,Billing_Export!$A$2:$A$221,0))</f>
        <v>Paid</v>
      </c>
      <c r="J125" s="7" t="str">
        <f aca="false">INDEX(Billing_Export!$F$2:$F$221,MATCH(A125,Billing_Export!$A$2:$A$221,0))</f>
        <v>None</v>
      </c>
    </row>
    <row r="126" customFormat="false" ht="15" hidden="false" customHeight="false" outlineLevel="0" collapsed="false">
      <c r="A126" s="12" t="n">
        <f aca="false">EHR_Export!A123</f>
        <v>100122</v>
      </c>
      <c r="B126" s="12" t="str">
        <f aca="false">EHR_Export!B123</f>
        <v>Dr. G. Kim</v>
      </c>
      <c r="C126" s="12" t="str">
        <f aca="false">EHR_Export!C123</f>
        <v>Endocrinology</v>
      </c>
      <c r="D126" s="12" t="str">
        <f aca="false">EHR_Export!D123</f>
        <v>2025-06-01</v>
      </c>
      <c r="E126" s="12" t="str">
        <f aca="false">EHR_Export!E123</f>
        <v>90935</v>
      </c>
      <c r="F126" s="7" t="str">
        <f aca="false">INDEX(Billing_Export!$B$2:$B$221,MATCH(A126,Billing_Export!$A$2:$A$221,0))</f>
        <v>Commercial - Aetna</v>
      </c>
      <c r="G126" s="14" t="n">
        <f aca="false">INDEX(Billing_Export!$C$2:$C$221,MATCH(A126,Billing_Export!$A$2:$A$221,0))</f>
        <v>263.42</v>
      </c>
      <c r="H126" s="14" t="n">
        <f aca="false">INDEX(Billing_Export!$D$2:$D$221,MATCH(A126,Billing_Export!$A$2:$A$221,0))</f>
        <v>0</v>
      </c>
      <c r="I126" s="7" t="str">
        <f aca="false">INDEX(Billing_Export!$E$2:$E$221,MATCH(A126,Billing_Export!$A$2:$A$221,0))</f>
        <v>Pending</v>
      </c>
      <c r="J126" s="7" t="str">
        <f aca="false">INDEX(Billing_Export!$F$2:$F$221,MATCH(A126,Billing_Export!$A$2:$A$221,0))</f>
        <v>None</v>
      </c>
    </row>
    <row r="127" customFormat="false" ht="15" hidden="false" customHeight="false" outlineLevel="0" collapsed="false">
      <c r="A127" s="12" t="n">
        <f aca="false">EHR_Export!A124</f>
        <v>100123</v>
      </c>
      <c r="B127" s="12" t="str">
        <f aca="false">EHR_Export!B124</f>
        <v>Dr. A. Reyes</v>
      </c>
      <c r="C127" s="12" t="str">
        <f aca="false">EHR_Export!C124</f>
        <v>Nephrology</v>
      </c>
      <c r="D127" s="12" t="str">
        <f aca="false">EHR_Export!D124</f>
        <v>2025-09-12</v>
      </c>
      <c r="E127" s="12" t="str">
        <f aca="false">EHR_Export!E124</f>
        <v>99204</v>
      </c>
      <c r="F127" s="7" t="str">
        <f aca="false">INDEX(Billing_Export!$B$2:$B$221,MATCH(A127,Billing_Export!$A$2:$A$221,0))</f>
        <v>Commercial - Blue Shield</v>
      </c>
      <c r="G127" s="14" t="n">
        <f aca="false">INDEX(Billing_Export!$C$2:$C$221,MATCH(A127,Billing_Export!$A$2:$A$221,0))</f>
        <v>265.34</v>
      </c>
      <c r="H127" s="14" t="n">
        <f aca="false">INDEX(Billing_Export!$D$2:$D$221,MATCH(A127,Billing_Export!$A$2:$A$221,0))</f>
        <v>205.79</v>
      </c>
      <c r="I127" s="7" t="str">
        <f aca="false">INDEX(Billing_Export!$E$2:$E$221,MATCH(A127,Billing_Export!$A$2:$A$221,0))</f>
        <v>Paid</v>
      </c>
      <c r="J127" s="7" t="str">
        <f aca="false">INDEX(Billing_Export!$F$2:$F$221,MATCH(A127,Billing_Export!$A$2:$A$221,0))</f>
        <v>None</v>
      </c>
    </row>
    <row r="128" customFormat="false" ht="15" hidden="false" customHeight="false" outlineLevel="0" collapsed="false">
      <c r="A128" s="12" t="n">
        <f aca="false">EHR_Export!A125</f>
        <v>100124</v>
      </c>
      <c r="B128" s="12" t="str">
        <f aca="false">EHR_Export!B125</f>
        <v>Dr. E. Patel</v>
      </c>
      <c r="C128" s="12" t="str">
        <f aca="false">EHR_Export!C125</f>
        <v>Internal Medicine</v>
      </c>
      <c r="D128" s="12" t="str">
        <f aca="false">EHR_Export!D125</f>
        <v>2025-03-12</v>
      </c>
      <c r="E128" s="12" t="str">
        <f aca="false">EHR_Export!E125</f>
        <v>71046</v>
      </c>
      <c r="F128" s="7" t="str">
        <f aca="false">INDEX(Billing_Export!$B$2:$B$221,MATCH(A128,Billing_Export!$A$2:$A$221,0))</f>
        <v>Medicaid</v>
      </c>
      <c r="G128" s="14" t="n">
        <f aca="false">INDEX(Billing_Export!$C$2:$C$221,MATCH(A128,Billing_Export!$A$2:$A$221,0))</f>
        <v>48.35</v>
      </c>
      <c r="H128" s="14" t="n">
        <f aca="false">INDEX(Billing_Export!$D$2:$D$221,MATCH(A128,Billing_Export!$A$2:$A$221,0))</f>
        <v>31.52</v>
      </c>
      <c r="I128" s="7" t="str">
        <f aca="false">INDEX(Billing_Export!$E$2:$E$221,MATCH(A128,Billing_Export!$A$2:$A$221,0))</f>
        <v>Paid</v>
      </c>
      <c r="J128" s="7" t="str">
        <f aca="false">INDEX(Billing_Export!$F$2:$F$221,MATCH(A128,Billing_Export!$A$2:$A$221,0))</f>
        <v>None</v>
      </c>
    </row>
    <row r="129" customFormat="false" ht="15" hidden="false" customHeight="false" outlineLevel="0" collapsed="false">
      <c r="A129" s="12" t="n">
        <f aca="false">EHR_Export!A126</f>
        <v>100125</v>
      </c>
      <c r="B129" s="12" t="str">
        <f aca="false">EHR_Export!B126</f>
        <v>Dr. B. Chen</v>
      </c>
      <c r="C129" s="12" t="str">
        <f aca="false">EHR_Export!C126</f>
        <v>Nephrology</v>
      </c>
      <c r="D129" s="12" t="str">
        <f aca="false">EHR_Export!D126</f>
        <v>2025-06-01</v>
      </c>
      <c r="E129" s="12" t="str">
        <f aca="false">EHR_Export!E126</f>
        <v>99204</v>
      </c>
      <c r="F129" s="7" t="str">
        <f aca="false">INDEX(Billing_Export!$B$2:$B$221,MATCH(A129,Billing_Export!$A$2:$A$221,0))</f>
        <v>Medicare</v>
      </c>
      <c r="G129" s="14" t="n">
        <f aca="false">INDEX(Billing_Export!$C$2:$C$221,MATCH(A129,Billing_Export!$A$2:$A$221,0))</f>
        <v>267.87</v>
      </c>
      <c r="H129" s="14" t="n">
        <f aca="false">INDEX(Billing_Export!$D$2:$D$221,MATCH(A129,Billing_Export!$A$2:$A$221,0))</f>
        <v>174.06</v>
      </c>
      <c r="I129" s="7" t="str">
        <f aca="false">INDEX(Billing_Export!$E$2:$E$221,MATCH(A129,Billing_Export!$A$2:$A$221,0))</f>
        <v>Paid</v>
      </c>
      <c r="J129" s="7" t="str">
        <f aca="false">INDEX(Billing_Export!$F$2:$F$221,MATCH(A129,Billing_Export!$A$2:$A$221,0))</f>
        <v>None</v>
      </c>
    </row>
    <row r="130" customFormat="false" ht="15" hidden="false" customHeight="false" outlineLevel="0" collapsed="false">
      <c r="A130" s="12" t="n">
        <f aca="false">EHR_Export!A127</f>
        <v>100126</v>
      </c>
      <c r="B130" s="12" t="str">
        <f aca="false">EHR_Export!B127</f>
        <v>Dr. F. Martinez</v>
      </c>
      <c r="C130" s="12" t="str">
        <f aca="false">EHR_Export!C127</f>
        <v>Internal Medicine</v>
      </c>
      <c r="D130" s="12" t="str">
        <f aca="false">EHR_Export!D127</f>
        <v>2025-09-14</v>
      </c>
      <c r="E130" s="12" t="str">
        <f aca="false">EHR_Export!E127</f>
        <v>99215</v>
      </c>
      <c r="F130" s="7" t="str">
        <f aca="false">INDEX(Billing_Export!$B$2:$B$221,MATCH(A130,Billing_Export!$A$2:$A$221,0))</f>
        <v>Commercial - Blue Shield</v>
      </c>
      <c r="G130" s="14" t="n">
        <f aca="false">INDEX(Billing_Export!$C$2:$C$221,MATCH(A130,Billing_Export!$A$2:$A$221,0))</f>
        <v>292.72</v>
      </c>
      <c r="H130" s="14" t="n">
        <f aca="false">INDEX(Billing_Export!$D$2:$D$221,MATCH(A130,Billing_Export!$A$2:$A$221,0))</f>
        <v>260.75</v>
      </c>
      <c r="I130" s="7" t="str">
        <f aca="false">INDEX(Billing_Export!$E$2:$E$221,MATCH(A130,Billing_Export!$A$2:$A$221,0))</f>
        <v>Paid</v>
      </c>
      <c r="J130" s="7" t="str">
        <f aca="false">INDEX(Billing_Export!$F$2:$F$221,MATCH(A130,Billing_Export!$A$2:$A$221,0))</f>
        <v>None</v>
      </c>
    </row>
    <row r="131" customFormat="false" ht="15" hidden="false" customHeight="false" outlineLevel="0" collapsed="false">
      <c r="A131" s="12" t="n">
        <f aca="false">EHR_Export!A128</f>
        <v>100127</v>
      </c>
      <c r="B131" s="12" t="str">
        <f aca="false">EHR_Export!B128</f>
        <v>Dr. E. Patel</v>
      </c>
      <c r="C131" s="12" t="str">
        <f aca="false">EHR_Export!C128</f>
        <v>Internal Medicine</v>
      </c>
      <c r="D131" s="12" t="str">
        <f aca="false">EHR_Export!D128</f>
        <v>2025-06-23</v>
      </c>
      <c r="E131" s="12" t="str">
        <f aca="false">EHR_Export!E128</f>
        <v>99204</v>
      </c>
      <c r="F131" s="7" t="str">
        <f aca="false">INDEX(Billing_Export!$B$2:$B$221,MATCH(A131,Billing_Export!$A$2:$A$221,0))</f>
        <v>Medicaid</v>
      </c>
      <c r="G131" s="14" t="n">
        <f aca="false">INDEX(Billing_Export!$C$2:$C$221,MATCH(A131,Billing_Export!$A$2:$A$221,0))</f>
        <v>184.24</v>
      </c>
      <c r="H131" s="14" t="n">
        <f aca="false">INDEX(Billing_Export!$D$2:$D$221,MATCH(A131,Billing_Export!$A$2:$A$221,0))</f>
        <v>0</v>
      </c>
      <c r="I131" s="7" t="str">
        <f aca="false">INDEX(Billing_Export!$E$2:$E$221,MATCH(A131,Billing_Export!$A$2:$A$221,0))</f>
        <v>Denied</v>
      </c>
      <c r="J131" s="7" t="str">
        <f aca="false">INDEX(Billing_Export!$F$2:$F$221,MATCH(A131,Billing_Export!$A$2:$A$221,0))</f>
        <v>Timely Filing Limit Exceeded</v>
      </c>
    </row>
    <row r="132" customFormat="false" ht="15" hidden="false" customHeight="false" outlineLevel="0" collapsed="false">
      <c r="A132" s="12" t="n">
        <f aca="false">EHR_Export!A129</f>
        <v>100128</v>
      </c>
      <c r="B132" s="12" t="str">
        <f aca="false">EHR_Export!B129</f>
        <v>Dr. B. Chen</v>
      </c>
      <c r="C132" s="12" t="str">
        <f aca="false">EHR_Export!C129</f>
        <v>Nephrology</v>
      </c>
      <c r="D132" s="12" t="str">
        <f aca="false">EHR_Export!D129</f>
        <v>2025-07-07</v>
      </c>
      <c r="E132" s="12" t="str">
        <f aca="false">EHR_Export!E129</f>
        <v>99214</v>
      </c>
      <c r="F132" s="7" t="str">
        <f aca="false">INDEX(Billing_Export!$B$2:$B$221,MATCH(A132,Billing_Export!$A$2:$A$221,0))</f>
        <v>Commercial - Blue Shield</v>
      </c>
      <c r="G132" s="14" t="n">
        <f aca="false">INDEX(Billing_Export!$C$2:$C$221,MATCH(A132,Billing_Export!$A$2:$A$221,0))</f>
        <v>200.2</v>
      </c>
      <c r="H132" s="14" t="n">
        <f aca="false">INDEX(Billing_Export!$D$2:$D$221,MATCH(A132,Billing_Export!$A$2:$A$221,0))</f>
        <v>0</v>
      </c>
      <c r="I132" s="7" t="str">
        <f aca="false">INDEX(Billing_Export!$E$2:$E$221,MATCH(A132,Billing_Export!$A$2:$A$221,0))</f>
        <v>Denied</v>
      </c>
      <c r="J132" s="7" t="str">
        <f aca="false">INDEX(Billing_Export!$F$2:$F$221,MATCH(A132,Billing_Export!$A$2:$A$221,0))</f>
        <v>Eligibility Not Verified</v>
      </c>
    </row>
    <row r="133" customFormat="false" ht="15" hidden="false" customHeight="false" outlineLevel="0" collapsed="false">
      <c r="A133" s="12" t="n">
        <f aca="false">EHR_Export!A130</f>
        <v>100129</v>
      </c>
      <c r="B133" s="12" t="str">
        <f aca="false">EHR_Export!B130</f>
        <v>Dr. B. Chen</v>
      </c>
      <c r="C133" s="12" t="str">
        <f aca="false">EHR_Export!C130</f>
        <v>Nephrology</v>
      </c>
      <c r="D133" s="12" t="str">
        <f aca="false">EHR_Export!D130</f>
        <v>2025-05-15</v>
      </c>
      <c r="E133" s="12" t="str">
        <f aca="false">EHR_Export!E130</f>
        <v>99213</v>
      </c>
      <c r="F133" s="7" t="str">
        <f aca="false">INDEX(Billing_Export!$B$2:$B$221,MATCH(A133,Billing_Export!$A$2:$A$221,0))</f>
        <v>Commercial - Blue Shield</v>
      </c>
      <c r="G133" s="14" t="n">
        <f aca="false">INDEX(Billing_Export!$C$2:$C$221,MATCH(A133,Billing_Export!$A$2:$A$221,0))</f>
        <v>149.74</v>
      </c>
      <c r="H133" s="14" t="n">
        <f aca="false">INDEX(Billing_Export!$D$2:$D$221,MATCH(A133,Billing_Export!$A$2:$A$221,0))</f>
        <v>119.76</v>
      </c>
      <c r="I133" s="7" t="str">
        <f aca="false">INDEX(Billing_Export!$E$2:$E$221,MATCH(A133,Billing_Export!$A$2:$A$221,0))</f>
        <v>Paid</v>
      </c>
      <c r="J133" s="7" t="str">
        <f aca="false">INDEX(Billing_Export!$F$2:$F$221,MATCH(A133,Billing_Export!$A$2:$A$221,0))</f>
        <v>None</v>
      </c>
    </row>
    <row r="134" customFormat="false" ht="15" hidden="false" customHeight="false" outlineLevel="0" collapsed="false">
      <c r="A134" s="12" t="n">
        <f aca="false">EHR_Export!A131</f>
        <v>100130</v>
      </c>
      <c r="B134" s="12" t="str">
        <f aca="false">EHR_Export!B131</f>
        <v>Dr. G. Kim</v>
      </c>
      <c r="C134" s="12" t="str">
        <f aca="false">EHR_Export!C131</f>
        <v>Endocrinology</v>
      </c>
      <c r="D134" s="12" t="str">
        <f aca="false">EHR_Export!D131</f>
        <v>2025-06-17</v>
      </c>
      <c r="E134" s="12" t="str">
        <f aca="false">EHR_Export!E131</f>
        <v>99214</v>
      </c>
      <c r="F134" s="7" t="str">
        <f aca="false">INDEX(Billing_Export!$B$2:$B$221,MATCH(A134,Billing_Export!$A$2:$A$221,0))</f>
        <v>Kaiser HMO</v>
      </c>
      <c r="G134" s="14" t="n">
        <f aca="false">INDEX(Billing_Export!$C$2:$C$221,MATCH(A134,Billing_Export!$A$2:$A$221,0))</f>
        <v>199.15</v>
      </c>
      <c r="H134" s="14" t="n">
        <f aca="false">INDEX(Billing_Export!$D$2:$D$221,MATCH(A134,Billing_Export!$A$2:$A$221,0))</f>
        <v>140.64</v>
      </c>
      <c r="I134" s="7" t="str">
        <f aca="false">INDEX(Billing_Export!$E$2:$E$221,MATCH(A134,Billing_Export!$A$2:$A$221,0))</f>
        <v>Paid</v>
      </c>
      <c r="J134" s="7" t="str">
        <f aca="false">INDEX(Billing_Export!$F$2:$F$221,MATCH(A134,Billing_Export!$A$2:$A$221,0))</f>
        <v>None</v>
      </c>
    </row>
    <row r="135" customFormat="false" ht="15" hidden="false" customHeight="false" outlineLevel="0" collapsed="false">
      <c r="A135" s="12" t="n">
        <f aca="false">EHR_Export!A132</f>
        <v>100131</v>
      </c>
      <c r="B135" s="12" t="str">
        <f aca="false">EHR_Export!B132</f>
        <v>Dr. D. Nguyen</v>
      </c>
      <c r="C135" s="12" t="str">
        <f aca="false">EHR_Export!C132</f>
        <v>Cardiology</v>
      </c>
      <c r="D135" s="12" t="str">
        <f aca="false">EHR_Export!D132</f>
        <v>2025-01-20</v>
      </c>
      <c r="E135" s="12" t="str">
        <f aca="false">EHR_Export!E132</f>
        <v>80053</v>
      </c>
      <c r="F135" s="7" t="str">
        <f aca="false">INDEX(Billing_Export!$B$2:$B$221,MATCH(A135,Billing_Export!$A$2:$A$221,0))</f>
        <v>Medicare</v>
      </c>
      <c r="G135" s="14" t="n">
        <f aca="false">INDEX(Billing_Export!$C$2:$C$221,MATCH(A135,Billing_Export!$A$2:$A$221,0))</f>
        <v>32.74</v>
      </c>
      <c r="H135" s="14" t="n">
        <f aca="false">INDEX(Billing_Export!$D$2:$D$221,MATCH(A135,Billing_Export!$A$2:$A$221,0))</f>
        <v>20.55</v>
      </c>
      <c r="I135" s="7" t="str">
        <f aca="false">INDEX(Billing_Export!$E$2:$E$221,MATCH(A135,Billing_Export!$A$2:$A$221,0))</f>
        <v>Paid</v>
      </c>
      <c r="J135" s="7" t="str">
        <f aca="false">INDEX(Billing_Export!$F$2:$F$221,MATCH(A135,Billing_Export!$A$2:$A$221,0))</f>
        <v>None</v>
      </c>
    </row>
    <row r="136" customFormat="false" ht="15" hidden="false" customHeight="false" outlineLevel="0" collapsed="false">
      <c r="A136" s="12" t="n">
        <f aca="false">EHR_Export!A133</f>
        <v>100132</v>
      </c>
      <c r="B136" s="12" t="str">
        <f aca="false">EHR_Export!B133</f>
        <v>Dr. E. Patel</v>
      </c>
      <c r="C136" s="12" t="str">
        <f aca="false">EHR_Export!C133</f>
        <v>Internal Medicine</v>
      </c>
      <c r="D136" s="12" t="str">
        <f aca="false">EHR_Export!D133</f>
        <v>2025-08-03</v>
      </c>
      <c r="E136" s="12" t="str">
        <f aca="false">EHR_Export!E133</f>
        <v>99214</v>
      </c>
      <c r="F136" s="7" t="str">
        <f aca="false">INDEX(Billing_Export!$B$2:$B$221,MATCH(A136,Billing_Export!$A$2:$A$221,0))</f>
        <v>Commercial - Blue Shield</v>
      </c>
      <c r="G136" s="14" t="n">
        <f aca="false">INDEX(Billing_Export!$C$2:$C$221,MATCH(A136,Billing_Export!$A$2:$A$221,0))</f>
        <v>196.97</v>
      </c>
      <c r="H136" s="14" t="n">
        <f aca="false">INDEX(Billing_Export!$D$2:$D$221,MATCH(A136,Billing_Export!$A$2:$A$221,0))</f>
        <v>164.54</v>
      </c>
      <c r="I136" s="7" t="str">
        <f aca="false">INDEX(Billing_Export!$E$2:$E$221,MATCH(A136,Billing_Export!$A$2:$A$221,0))</f>
        <v>Paid</v>
      </c>
      <c r="J136" s="7" t="str">
        <f aca="false">INDEX(Billing_Export!$F$2:$F$221,MATCH(A136,Billing_Export!$A$2:$A$221,0))</f>
        <v>None</v>
      </c>
    </row>
    <row r="137" customFormat="false" ht="15" hidden="false" customHeight="false" outlineLevel="0" collapsed="false">
      <c r="A137" s="12" t="n">
        <f aca="false">EHR_Export!A134</f>
        <v>100133</v>
      </c>
      <c r="B137" s="12" t="str">
        <f aca="false">EHR_Export!B134</f>
        <v>Dr. C. Okafor</v>
      </c>
      <c r="C137" s="12" t="str">
        <f aca="false">EHR_Export!C134</f>
        <v>Cardiology</v>
      </c>
      <c r="D137" s="12" t="str">
        <f aca="false">EHR_Export!D134</f>
        <v>2025-07-09</v>
      </c>
      <c r="E137" s="12" t="str">
        <f aca="false">EHR_Export!E134</f>
        <v>99214</v>
      </c>
      <c r="F137" s="7" t="str">
        <f aca="false">INDEX(Billing_Export!$B$2:$B$221,MATCH(A137,Billing_Export!$A$2:$A$221,0))</f>
        <v>Commercial - Blue Shield</v>
      </c>
      <c r="G137" s="14" t="n">
        <f aca="false">INDEX(Billing_Export!$C$2:$C$221,MATCH(A137,Billing_Export!$A$2:$A$221,0))</f>
        <v>251.65</v>
      </c>
      <c r="H137" s="14" t="n">
        <f aca="false">INDEX(Billing_Export!$D$2:$D$221,MATCH(A137,Billing_Export!$A$2:$A$221,0))</f>
        <v>180.17</v>
      </c>
      <c r="I137" s="7" t="str">
        <f aca="false">INDEX(Billing_Export!$E$2:$E$221,MATCH(A137,Billing_Export!$A$2:$A$221,0))</f>
        <v>Paid</v>
      </c>
      <c r="J137" s="7" t="str">
        <f aca="false">INDEX(Billing_Export!$F$2:$F$221,MATCH(A137,Billing_Export!$A$2:$A$221,0))</f>
        <v>None</v>
      </c>
    </row>
    <row r="138" customFormat="false" ht="15" hidden="false" customHeight="false" outlineLevel="0" collapsed="false">
      <c r="A138" s="12" t="n">
        <f aca="false">EHR_Export!A135</f>
        <v>100134</v>
      </c>
      <c r="B138" s="12" t="str">
        <f aca="false">EHR_Export!B135</f>
        <v>Dr. D. Nguyen</v>
      </c>
      <c r="C138" s="12" t="str">
        <f aca="false">EHR_Export!C135</f>
        <v>Cardiology</v>
      </c>
      <c r="D138" s="12" t="str">
        <f aca="false">EHR_Export!D135</f>
        <v>2025-07-03</v>
      </c>
      <c r="E138" s="12" t="str">
        <f aca="false">EHR_Export!E135</f>
        <v>80053</v>
      </c>
      <c r="F138" s="7" t="str">
        <f aca="false">INDEX(Billing_Export!$B$2:$B$221,MATCH(A138,Billing_Export!$A$2:$A$221,0))</f>
        <v>Commercial - Blue Shield</v>
      </c>
      <c r="G138" s="14" t="n">
        <f aca="false">INDEX(Billing_Export!$C$2:$C$221,MATCH(A138,Billing_Export!$A$2:$A$221,0))</f>
        <v>42.6</v>
      </c>
      <c r="H138" s="14" t="n">
        <f aca="false">INDEX(Billing_Export!$D$2:$D$221,MATCH(A138,Billing_Export!$A$2:$A$221,0))</f>
        <v>27.3</v>
      </c>
      <c r="I138" s="7" t="str">
        <f aca="false">INDEX(Billing_Export!$E$2:$E$221,MATCH(A138,Billing_Export!$A$2:$A$221,0))</f>
        <v>Paid</v>
      </c>
      <c r="J138" s="7" t="str">
        <f aca="false">INDEX(Billing_Export!$F$2:$F$221,MATCH(A138,Billing_Export!$A$2:$A$221,0))</f>
        <v>None</v>
      </c>
    </row>
    <row r="139" customFormat="false" ht="15" hidden="false" customHeight="false" outlineLevel="0" collapsed="false">
      <c r="A139" s="12" t="n">
        <f aca="false">EHR_Export!A136</f>
        <v>100135</v>
      </c>
      <c r="B139" s="12" t="str">
        <f aca="false">EHR_Export!B136</f>
        <v>Dr. A. Reyes</v>
      </c>
      <c r="C139" s="12" t="str">
        <f aca="false">EHR_Export!C136</f>
        <v>Nephrology</v>
      </c>
      <c r="D139" s="12" t="str">
        <f aca="false">EHR_Export!D136</f>
        <v>2025-04-19</v>
      </c>
      <c r="E139" s="12" t="str">
        <f aca="false">EHR_Export!E136</f>
        <v>99204</v>
      </c>
      <c r="F139" s="7" t="str">
        <f aca="false">INDEX(Billing_Export!$B$2:$B$221,MATCH(A139,Billing_Export!$A$2:$A$221,0))</f>
        <v>Commercial - Blue Shield</v>
      </c>
      <c r="G139" s="14" t="n">
        <f aca="false">INDEX(Billing_Export!$C$2:$C$221,MATCH(A139,Billing_Export!$A$2:$A$221,0))</f>
        <v>284.15</v>
      </c>
      <c r="H139" s="14" t="n">
        <f aca="false">INDEX(Billing_Export!$D$2:$D$221,MATCH(A139,Billing_Export!$A$2:$A$221,0))</f>
        <v>181.92</v>
      </c>
      <c r="I139" s="7" t="str">
        <f aca="false">INDEX(Billing_Export!$E$2:$E$221,MATCH(A139,Billing_Export!$A$2:$A$221,0))</f>
        <v>Paid</v>
      </c>
      <c r="J139" s="7" t="str">
        <f aca="false">INDEX(Billing_Export!$F$2:$F$221,MATCH(A139,Billing_Export!$A$2:$A$221,0))</f>
        <v>None</v>
      </c>
    </row>
    <row r="140" customFormat="false" ht="15" hidden="false" customHeight="false" outlineLevel="0" collapsed="false">
      <c r="A140" s="12" t="n">
        <f aca="false">EHR_Export!A137</f>
        <v>100136</v>
      </c>
      <c r="B140" s="12" t="str">
        <f aca="false">EHR_Export!B137</f>
        <v>Dr. A. Reyes</v>
      </c>
      <c r="C140" s="12" t="str">
        <f aca="false">EHR_Export!C137</f>
        <v>Nephrology</v>
      </c>
      <c r="D140" s="12" t="str">
        <f aca="false">EHR_Export!D137</f>
        <v>2025-04-17</v>
      </c>
      <c r="E140" s="12" t="str">
        <f aca="false">EHR_Export!E137</f>
        <v>90935</v>
      </c>
      <c r="F140" s="7" t="str">
        <f aca="false">INDEX(Billing_Export!$B$2:$B$221,MATCH(A140,Billing_Export!$A$2:$A$221,0))</f>
        <v>Medicare</v>
      </c>
      <c r="G140" s="14" t="n">
        <f aca="false">INDEX(Billing_Export!$C$2:$C$221,MATCH(A140,Billing_Export!$A$2:$A$221,0))</f>
        <v>182.64</v>
      </c>
      <c r="H140" s="14" t="n">
        <f aca="false">INDEX(Billing_Export!$D$2:$D$221,MATCH(A140,Billing_Export!$A$2:$A$221,0))</f>
        <v>141.25</v>
      </c>
      <c r="I140" s="7" t="str">
        <f aca="false">INDEX(Billing_Export!$E$2:$E$221,MATCH(A140,Billing_Export!$A$2:$A$221,0))</f>
        <v>Paid</v>
      </c>
      <c r="J140" s="7" t="str">
        <f aca="false">INDEX(Billing_Export!$F$2:$F$221,MATCH(A140,Billing_Export!$A$2:$A$221,0))</f>
        <v>None</v>
      </c>
    </row>
    <row r="141" customFormat="false" ht="15" hidden="false" customHeight="false" outlineLevel="0" collapsed="false">
      <c r="A141" s="12" t="n">
        <f aca="false">EHR_Export!A138</f>
        <v>100137</v>
      </c>
      <c r="B141" s="12" t="str">
        <f aca="false">EHR_Export!B138</f>
        <v>Dr. D. Nguyen</v>
      </c>
      <c r="C141" s="12" t="str">
        <f aca="false">EHR_Export!C138</f>
        <v>Cardiology</v>
      </c>
      <c r="D141" s="12" t="str">
        <f aca="false">EHR_Export!D138</f>
        <v>2025-03-16</v>
      </c>
      <c r="E141" s="12" t="str">
        <f aca="false">EHR_Export!E138</f>
        <v>90935</v>
      </c>
      <c r="F141" s="7" t="str">
        <f aca="false">INDEX(Billing_Export!$B$2:$B$221,MATCH(A141,Billing_Export!$A$2:$A$221,0))</f>
        <v>Medicaid</v>
      </c>
      <c r="G141" s="14" t="n">
        <f aca="false">INDEX(Billing_Export!$C$2:$C$221,MATCH(A141,Billing_Export!$A$2:$A$221,0))</f>
        <v>143.85</v>
      </c>
      <c r="H141" s="14" t="n">
        <f aca="false">INDEX(Billing_Export!$D$2:$D$221,MATCH(A141,Billing_Export!$A$2:$A$221,0))</f>
        <v>94.72</v>
      </c>
      <c r="I141" s="7" t="str">
        <f aca="false">INDEX(Billing_Export!$E$2:$E$221,MATCH(A141,Billing_Export!$A$2:$A$221,0))</f>
        <v>Paid</v>
      </c>
      <c r="J141" s="7" t="str">
        <f aca="false">INDEX(Billing_Export!$F$2:$F$221,MATCH(A141,Billing_Export!$A$2:$A$221,0))</f>
        <v>None</v>
      </c>
    </row>
    <row r="142" customFormat="false" ht="15" hidden="false" customHeight="false" outlineLevel="0" collapsed="false">
      <c r="A142" s="12" t="n">
        <f aca="false">EHR_Export!A139</f>
        <v>100138</v>
      </c>
      <c r="B142" s="12" t="str">
        <f aca="false">EHR_Export!B139</f>
        <v>Dr. C. Okafor</v>
      </c>
      <c r="C142" s="12" t="str">
        <f aca="false">EHR_Export!C139</f>
        <v>Cardiology</v>
      </c>
      <c r="D142" s="12" t="str">
        <f aca="false">EHR_Export!D139</f>
        <v>2025-07-03</v>
      </c>
      <c r="E142" s="12" t="str">
        <f aca="false">EHR_Export!E139</f>
        <v>99204</v>
      </c>
      <c r="F142" s="7" t="str">
        <f aca="false">INDEX(Billing_Export!$B$2:$B$221,MATCH(A142,Billing_Export!$A$2:$A$221,0))</f>
        <v>Commercial - Aetna</v>
      </c>
      <c r="G142" s="14" t="n">
        <f aca="false">INDEX(Billing_Export!$C$2:$C$221,MATCH(A142,Billing_Export!$A$2:$A$221,0))</f>
        <v>347.15</v>
      </c>
      <c r="H142" s="14" t="n">
        <f aca="false">INDEX(Billing_Export!$D$2:$D$221,MATCH(A142,Billing_Export!$A$2:$A$221,0))</f>
        <v>246.05</v>
      </c>
      <c r="I142" s="7" t="str">
        <f aca="false">INDEX(Billing_Export!$E$2:$E$221,MATCH(A142,Billing_Export!$A$2:$A$221,0))</f>
        <v>Paid</v>
      </c>
      <c r="J142" s="7" t="str">
        <f aca="false">INDEX(Billing_Export!$F$2:$F$221,MATCH(A142,Billing_Export!$A$2:$A$221,0))</f>
        <v>None</v>
      </c>
    </row>
    <row r="143" customFormat="false" ht="15" hidden="false" customHeight="false" outlineLevel="0" collapsed="false">
      <c r="A143" s="12" t="n">
        <f aca="false">EHR_Export!A140</f>
        <v>100139</v>
      </c>
      <c r="B143" s="12" t="str">
        <f aca="false">EHR_Export!B140</f>
        <v>Dr. D. Nguyen</v>
      </c>
      <c r="C143" s="12" t="str">
        <f aca="false">EHR_Export!C140</f>
        <v>Cardiology</v>
      </c>
      <c r="D143" s="12" t="str">
        <f aca="false">EHR_Export!D140</f>
        <v>2025-02-28</v>
      </c>
      <c r="E143" s="12" t="str">
        <f aca="false">EHR_Export!E140</f>
        <v>90935</v>
      </c>
      <c r="F143" s="7" t="str">
        <f aca="false">INDEX(Billing_Export!$B$2:$B$221,MATCH(A143,Billing_Export!$A$2:$A$221,0))</f>
        <v>Commercial - Aetna</v>
      </c>
      <c r="G143" s="14" t="n">
        <f aca="false">INDEX(Billing_Export!$C$2:$C$221,MATCH(A143,Billing_Export!$A$2:$A$221,0))</f>
        <v>216.38</v>
      </c>
      <c r="H143" s="14" t="n">
        <f aca="false">INDEX(Billing_Export!$D$2:$D$221,MATCH(A143,Billing_Export!$A$2:$A$221,0))</f>
        <v>186.11</v>
      </c>
      <c r="I143" s="7" t="str">
        <f aca="false">INDEX(Billing_Export!$E$2:$E$221,MATCH(A143,Billing_Export!$A$2:$A$221,0))</f>
        <v>Paid</v>
      </c>
      <c r="J143" s="7" t="str">
        <f aca="false">INDEX(Billing_Export!$F$2:$F$221,MATCH(A143,Billing_Export!$A$2:$A$221,0))</f>
        <v>None</v>
      </c>
    </row>
    <row r="144" customFormat="false" ht="15" hidden="false" customHeight="false" outlineLevel="0" collapsed="false">
      <c r="A144" s="12" t="n">
        <f aca="false">EHR_Export!A141</f>
        <v>100140</v>
      </c>
      <c r="B144" s="12" t="str">
        <f aca="false">EHR_Export!B141</f>
        <v>Dr. B. Chen</v>
      </c>
      <c r="C144" s="12" t="str">
        <f aca="false">EHR_Export!C141</f>
        <v>Nephrology</v>
      </c>
      <c r="D144" s="12" t="str">
        <f aca="false">EHR_Export!D141</f>
        <v>2025-01-23</v>
      </c>
      <c r="E144" s="12" t="str">
        <f aca="false">EHR_Export!E141</f>
        <v>80053</v>
      </c>
      <c r="F144" s="7" t="str">
        <f aca="false">INDEX(Billing_Export!$B$2:$B$221,MATCH(A144,Billing_Export!$A$2:$A$221,0))</f>
        <v>Commercial - Blue Shield</v>
      </c>
      <c r="G144" s="14" t="n">
        <f aca="false">INDEX(Billing_Export!$C$2:$C$221,MATCH(A144,Billing_Export!$A$2:$A$221,0))</f>
        <v>40.5</v>
      </c>
      <c r="H144" s="14" t="n">
        <f aca="false">INDEX(Billing_Export!$D$2:$D$221,MATCH(A144,Billing_Export!$A$2:$A$221,0))</f>
        <v>27.01</v>
      </c>
      <c r="I144" s="7" t="str">
        <f aca="false">INDEX(Billing_Export!$E$2:$E$221,MATCH(A144,Billing_Export!$A$2:$A$221,0))</f>
        <v>Paid</v>
      </c>
      <c r="J144" s="7" t="str">
        <f aca="false">INDEX(Billing_Export!$F$2:$F$221,MATCH(A144,Billing_Export!$A$2:$A$221,0))</f>
        <v>None</v>
      </c>
    </row>
    <row r="145" customFormat="false" ht="15" hidden="false" customHeight="false" outlineLevel="0" collapsed="false">
      <c r="A145" s="12" t="n">
        <f aca="false">EHR_Export!A142</f>
        <v>100141</v>
      </c>
      <c r="B145" s="12" t="str">
        <f aca="false">EHR_Export!B142</f>
        <v>Dr. E. Patel</v>
      </c>
      <c r="C145" s="12" t="str">
        <f aca="false">EHR_Export!C142</f>
        <v>Internal Medicine</v>
      </c>
      <c r="D145" s="12" t="str">
        <f aca="false">EHR_Export!D142</f>
        <v>2025-09-09</v>
      </c>
      <c r="E145" s="12" t="str">
        <f aca="false">EHR_Export!E142</f>
        <v>99213</v>
      </c>
      <c r="F145" s="7" t="str">
        <f aca="false">INDEX(Billing_Export!$B$2:$B$221,MATCH(A145,Billing_Export!$A$2:$A$221,0))</f>
        <v>Commercial - Blue Shield</v>
      </c>
      <c r="G145" s="14" t="n">
        <f aca="false">INDEX(Billing_Export!$C$2:$C$221,MATCH(A145,Billing_Export!$A$2:$A$221,0))</f>
        <v>138.93</v>
      </c>
      <c r="H145" s="14" t="n">
        <f aca="false">INDEX(Billing_Export!$D$2:$D$221,MATCH(A145,Billing_Export!$A$2:$A$221,0))</f>
        <v>119.32</v>
      </c>
      <c r="I145" s="7" t="str">
        <f aca="false">INDEX(Billing_Export!$E$2:$E$221,MATCH(A145,Billing_Export!$A$2:$A$221,0))</f>
        <v>Paid</v>
      </c>
      <c r="J145" s="7" t="str">
        <f aca="false">INDEX(Billing_Export!$F$2:$F$221,MATCH(A145,Billing_Export!$A$2:$A$221,0))</f>
        <v>None</v>
      </c>
    </row>
    <row r="146" customFormat="false" ht="15" hidden="false" customHeight="false" outlineLevel="0" collapsed="false">
      <c r="A146" s="12" t="n">
        <f aca="false">EHR_Export!A143</f>
        <v>100142</v>
      </c>
      <c r="B146" s="12" t="str">
        <f aca="false">EHR_Export!B143</f>
        <v>Dr. H. Thompson</v>
      </c>
      <c r="C146" s="12" t="str">
        <f aca="false">EHR_Export!C143</f>
        <v>Family Medicine</v>
      </c>
      <c r="D146" s="12" t="str">
        <f aca="false">EHR_Export!D143</f>
        <v>2025-06-16</v>
      </c>
      <c r="E146" s="12" t="str">
        <f aca="false">EHR_Export!E143</f>
        <v>99214</v>
      </c>
      <c r="F146" s="7" t="str">
        <f aca="false">INDEX(Billing_Export!$B$2:$B$221,MATCH(A146,Billing_Export!$A$2:$A$221,0))</f>
        <v>Medicare</v>
      </c>
      <c r="G146" s="14" t="n">
        <f aca="false">INDEX(Billing_Export!$C$2:$C$221,MATCH(A146,Billing_Export!$A$2:$A$221,0))</f>
        <v>165.75</v>
      </c>
      <c r="H146" s="14" t="n">
        <f aca="false">INDEX(Billing_Export!$D$2:$D$221,MATCH(A146,Billing_Export!$A$2:$A$221,0))</f>
        <v>128.95</v>
      </c>
      <c r="I146" s="7" t="str">
        <f aca="false">INDEX(Billing_Export!$E$2:$E$221,MATCH(A146,Billing_Export!$A$2:$A$221,0))</f>
        <v>Paid</v>
      </c>
      <c r="J146" s="7" t="str">
        <f aca="false">INDEX(Billing_Export!$F$2:$F$221,MATCH(A146,Billing_Export!$A$2:$A$221,0))</f>
        <v>None</v>
      </c>
    </row>
    <row r="147" customFormat="false" ht="15" hidden="false" customHeight="false" outlineLevel="0" collapsed="false">
      <c r="A147" s="12" t="n">
        <f aca="false">EHR_Export!A144</f>
        <v>100143</v>
      </c>
      <c r="B147" s="12" t="str">
        <f aca="false">EHR_Export!B144</f>
        <v>Dr. G. Kim</v>
      </c>
      <c r="C147" s="12" t="str">
        <f aca="false">EHR_Export!C144</f>
        <v>Endocrinology</v>
      </c>
      <c r="D147" s="12" t="str">
        <f aca="false">EHR_Export!D144</f>
        <v>2025-02-28</v>
      </c>
      <c r="E147" s="12" t="str">
        <f aca="false">EHR_Export!E144</f>
        <v>93000</v>
      </c>
      <c r="F147" s="7" t="str">
        <f aca="false">INDEX(Billing_Export!$B$2:$B$221,MATCH(A147,Billing_Export!$A$2:$A$221,0))</f>
        <v>Commercial - Aetna</v>
      </c>
      <c r="G147" s="14" t="n">
        <f aca="false">INDEX(Billing_Export!$C$2:$C$221,MATCH(A147,Billing_Export!$A$2:$A$221,0))</f>
        <v>56.44</v>
      </c>
      <c r="H147" s="14" t="n">
        <f aca="false">INDEX(Billing_Export!$D$2:$D$221,MATCH(A147,Billing_Export!$A$2:$A$221,0))</f>
        <v>44.77</v>
      </c>
      <c r="I147" s="7" t="str">
        <f aca="false">INDEX(Billing_Export!$E$2:$E$221,MATCH(A147,Billing_Export!$A$2:$A$221,0))</f>
        <v>Paid</v>
      </c>
      <c r="J147" s="7" t="str">
        <f aca="false">INDEX(Billing_Export!$F$2:$F$221,MATCH(A147,Billing_Export!$A$2:$A$221,0))</f>
        <v>None</v>
      </c>
    </row>
    <row r="148" customFormat="false" ht="15" hidden="false" customHeight="false" outlineLevel="0" collapsed="false">
      <c r="A148" s="12" t="n">
        <f aca="false">EHR_Export!A145</f>
        <v>100144</v>
      </c>
      <c r="B148" s="12" t="str">
        <f aca="false">EHR_Export!B145</f>
        <v>Dr. D. Nguyen</v>
      </c>
      <c r="C148" s="12" t="str">
        <f aca="false">EHR_Export!C145</f>
        <v>Cardiology</v>
      </c>
      <c r="D148" s="12" t="str">
        <f aca="false">EHR_Export!D145</f>
        <v>2025-02-18</v>
      </c>
      <c r="E148" s="12" t="str">
        <f aca="false">EHR_Export!E145</f>
        <v>80053</v>
      </c>
      <c r="F148" s="7" t="str">
        <f aca="false">INDEX(Billing_Export!$B$2:$B$221,MATCH(A148,Billing_Export!$A$2:$A$221,0))</f>
        <v>Commercial - Blue Shield</v>
      </c>
      <c r="G148" s="14" t="n">
        <f aca="false">INDEX(Billing_Export!$C$2:$C$221,MATCH(A148,Billing_Export!$A$2:$A$221,0))</f>
        <v>41.84</v>
      </c>
      <c r="H148" s="14" t="n">
        <f aca="false">INDEX(Billing_Export!$D$2:$D$221,MATCH(A148,Billing_Export!$A$2:$A$221,0))</f>
        <v>21.05</v>
      </c>
      <c r="I148" s="7" t="str">
        <f aca="false">INDEX(Billing_Export!$E$2:$E$221,MATCH(A148,Billing_Export!$A$2:$A$221,0))</f>
        <v>Paid</v>
      </c>
      <c r="J148" s="7" t="str">
        <f aca="false">INDEX(Billing_Export!$F$2:$F$221,MATCH(A148,Billing_Export!$A$2:$A$221,0))</f>
        <v>None</v>
      </c>
    </row>
    <row r="149" customFormat="false" ht="15" hidden="false" customHeight="false" outlineLevel="0" collapsed="false">
      <c r="A149" s="12" t="n">
        <f aca="false">EHR_Export!A146</f>
        <v>100145</v>
      </c>
      <c r="B149" s="12" t="str">
        <f aca="false">EHR_Export!B146</f>
        <v>Dr. F. Martinez</v>
      </c>
      <c r="C149" s="12" t="str">
        <f aca="false">EHR_Export!C146</f>
        <v>Internal Medicine</v>
      </c>
      <c r="D149" s="12" t="str">
        <f aca="false">EHR_Export!D146</f>
        <v>2025-02-04</v>
      </c>
      <c r="E149" s="12" t="str">
        <f aca="false">EHR_Export!E146</f>
        <v>90935</v>
      </c>
      <c r="F149" s="7" t="str">
        <f aca="false">INDEX(Billing_Export!$B$2:$B$221,MATCH(A149,Billing_Export!$A$2:$A$221,0))</f>
        <v>Commercial - Blue Shield</v>
      </c>
      <c r="G149" s="14" t="n">
        <f aca="false">INDEX(Billing_Export!$C$2:$C$221,MATCH(A149,Billing_Export!$A$2:$A$221,0))</f>
        <v>271.02</v>
      </c>
      <c r="H149" s="14" t="n">
        <f aca="false">INDEX(Billing_Export!$D$2:$D$221,MATCH(A149,Billing_Export!$A$2:$A$221,0))</f>
        <v>191.75</v>
      </c>
      <c r="I149" s="7" t="str">
        <f aca="false">INDEX(Billing_Export!$E$2:$E$221,MATCH(A149,Billing_Export!$A$2:$A$221,0))</f>
        <v>Paid</v>
      </c>
      <c r="J149" s="7" t="str">
        <f aca="false">INDEX(Billing_Export!$F$2:$F$221,MATCH(A149,Billing_Export!$A$2:$A$221,0))</f>
        <v>None</v>
      </c>
    </row>
    <row r="150" customFormat="false" ht="15" hidden="false" customHeight="false" outlineLevel="0" collapsed="false">
      <c r="A150" s="12" t="n">
        <f aca="false">EHR_Export!A147</f>
        <v>100146</v>
      </c>
      <c r="B150" s="12" t="str">
        <f aca="false">EHR_Export!B147</f>
        <v>Dr. B. Chen</v>
      </c>
      <c r="C150" s="12" t="str">
        <f aca="false">EHR_Export!C147</f>
        <v>Nephrology</v>
      </c>
      <c r="D150" s="12" t="str">
        <f aca="false">EHR_Export!D147</f>
        <v>2025-01-31</v>
      </c>
      <c r="E150" s="12" t="str">
        <f aca="false">EHR_Export!E147</f>
        <v>99214</v>
      </c>
      <c r="F150" s="7" t="str">
        <f aca="false">INDEX(Billing_Export!$B$2:$B$221,MATCH(A150,Billing_Export!$A$2:$A$221,0))</f>
        <v>Medicare</v>
      </c>
      <c r="G150" s="14" t="n">
        <f aca="false">INDEX(Billing_Export!$C$2:$C$221,MATCH(A150,Billing_Export!$A$2:$A$221,0))</f>
        <v>172.08</v>
      </c>
      <c r="H150" s="14" t="n">
        <f aca="false">INDEX(Billing_Export!$D$2:$D$221,MATCH(A150,Billing_Export!$A$2:$A$221,0))</f>
        <v>125.16</v>
      </c>
      <c r="I150" s="7" t="str">
        <f aca="false">INDEX(Billing_Export!$E$2:$E$221,MATCH(A150,Billing_Export!$A$2:$A$221,0))</f>
        <v>Paid</v>
      </c>
      <c r="J150" s="7" t="str">
        <f aca="false">INDEX(Billing_Export!$F$2:$F$221,MATCH(A150,Billing_Export!$A$2:$A$221,0))</f>
        <v>None</v>
      </c>
    </row>
    <row r="151" customFormat="false" ht="15" hidden="false" customHeight="false" outlineLevel="0" collapsed="false">
      <c r="A151" s="12" t="n">
        <f aca="false">EHR_Export!A148</f>
        <v>100147</v>
      </c>
      <c r="B151" s="12" t="str">
        <f aca="false">EHR_Export!B148</f>
        <v>Dr. F. Martinez</v>
      </c>
      <c r="C151" s="12" t="str">
        <f aca="false">EHR_Export!C148</f>
        <v>Internal Medicine</v>
      </c>
      <c r="D151" s="12" t="str">
        <f aca="false">EHR_Export!D148</f>
        <v>2025-01-27</v>
      </c>
      <c r="E151" s="12" t="str">
        <f aca="false">EHR_Export!E148</f>
        <v>36415</v>
      </c>
      <c r="F151" s="7" t="str">
        <f aca="false">INDEX(Billing_Export!$B$2:$B$221,MATCH(A151,Billing_Export!$A$2:$A$221,0))</f>
        <v>Medicare</v>
      </c>
      <c r="G151" s="14" t="n">
        <f aca="false">INDEX(Billing_Export!$C$2:$C$221,MATCH(A151,Billing_Export!$A$2:$A$221,0))</f>
        <v>15.71</v>
      </c>
      <c r="H151" s="14" t="n">
        <f aca="false">INDEX(Billing_Export!$D$2:$D$221,MATCH(A151,Billing_Export!$A$2:$A$221,0))</f>
        <v>10.48</v>
      </c>
      <c r="I151" s="7" t="str">
        <f aca="false">INDEX(Billing_Export!$E$2:$E$221,MATCH(A151,Billing_Export!$A$2:$A$221,0))</f>
        <v>Paid</v>
      </c>
      <c r="J151" s="7" t="str">
        <f aca="false">INDEX(Billing_Export!$F$2:$F$221,MATCH(A151,Billing_Export!$A$2:$A$221,0))</f>
        <v>None</v>
      </c>
    </row>
    <row r="152" customFormat="false" ht="15" hidden="false" customHeight="false" outlineLevel="0" collapsed="false">
      <c r="A152" s="12" t="n">
        <f aca="false">EHR_Export!A149</f>
        <v>100148</v>
      </c>
      <c r="B152" s="12" t="str">
        <f aca="false">EHR_Export!B149</f>
        <v>Dr. E. Patel</v>
      </c>
      <c r="C152" s="12" t="str">
        <f aca="false">EHR_Export!C149</f>
        <v>Internal Medicine</v>
      </c>
      <c r="D152" s="12" t="str">
        <f aca="false">EHR_Export!D149</f>
        <v>2025-04-25</v>
      </c>
      <c r="E152" s="12" t="str">
        <f aca="false">EHR_Export!E149</f>
        <v>99204</v>
      </c>
      <c r="F152" s="7" t="str">
        <f aca="false">INDEX(Billing_Export!$B$2:$B$221,MATCH(A152,Billing_Export!$A$2:$A$221,0))</f>
        <v>Commercial - Aetna</v>
      </c>
      <c r="G152" s="14" t="n">
        <f aca="false">INDEX(Billing_Export!$C$2:$C$221,MATCH(A152,Billing_Export!$A$2:$A$221,0))</f>
        <v>300.9</v>
      </c>
      <c r="H152" s="14" t="n">
        <f aca="false">INDEX(Billing_Export!$D$2:$D$221,MATCH(A152,Billing_Export!$A$2:$A$221,0))</f>
        <v>232.16</v>
      </c>
      <c r="I152" s="7" t="str">
        <f aca="false">INDEX(Billing_Export!$E$2:$E$221,MATCH(A152,Billing_Export!$A$2:$A$221,0))</f>
        <v>Paid</v>
      </c>
      <c r="J152" s="7" t="str">
        <f aca="false">INDEX(Billing_Export!$F$2:$F$221,MATCH(A152,Billing_Export!$A$2:$A$221,0))</f>
        <v>None</v>
      </c>
    </row>
    <row r="153" customFormat="false" ht="15" hidden="false" customHeight="false" outlineLevel="0" collapsed="false">
      <c r="A153" s="12" t="n">
        <f aca="false">EHR_Export!A150</f>
        <v>100149</v>
      </c>
      <c r="B153" s="12" t="str">
        <f aca="false">EHR_Export!B150</f>
        <v>Dr. B. Chen</v>
      </c>
      <c r="C153" s="12" t="str">
        <f aca="false">EHR_Export!C150</f>
        <v>Nephrology</v>
      </c>
      <c r="D153" s="12" t="str">
        <f aca="false">EHR_Export!D150</f>
        <v>2025-01-14</v>
      </c>
      <c r="E153" s="12" t="str">
        <f aca="false">EHR_Export!E150</f>
        <v>93000</v>
      </c>
      <c r="F153" s="7" t="str">
        <f aca="false">INDEX(Billing_Export!$B$2:$B$221,MATCH(A153,Billing_Export!$A$2:$A$221,0))</f>
        <v>Kaiser HMO</v>
      </c>
      <c r="G153" s="14" t="n">
        <f aca="false">INDEX(Billing_Export!$C$2:$C$221,MATCH(A153,Billing_Export!$A$2:$A$221,0))</f>
        <v>47.35</v>
      </c>
      <c r="H153" s="14" t="n">
        <f aca="false">INDEX(Billing_Export!$D$2:$D$221,MATCH(A153,Billing_Export!$A$2:$A$221,0))</f>
        <v>36.66</v>
      </c>
      <c r="I153" s="7" t="str">
        <f aca="false">INDEX(Billing_Export!$E$2:$E$221,MATCH(A153,Billing_Export!$A$2:$A$221,0))</f>
        <v>Paid</v>
      </c>
      <c r="J153" s="7" t="str">
        <f aca="false">INDEX(Billing_Export!$F$2:$F$221,MATCH(A153,Billing_Export!$A$2:$A$221,0))</f>
        <v>None</v>
      </c>
    </row>
    <row r="154" customFormat="false" ht="15" hidden="false" customHeight="false" outlineLevel="0" collapsed="false">
      <c r="A154" s="12" t="n">
        <f aca="false">EHR_Export!A151</f>
        <v>100150</v>
      </c>
      <c r="B154" s="12" t="str">
        <f aca="false">EHR_Export!B151</f>
        <v>Dr. E. Patel</v>
      </c>
      <c r="C154" s="12" t="str">
        <f aca="false">EHR_Export!C151</f>
        <v>Internal Medicine</v>
      </c>
      <c r="D154" s="12" t="str">
        <f aca="false">EHR_Export!D151</f>
        <v>2025-04-03</v>
      </c>
      <c r="E154" s="12" t="str">
        <f aca="false">EHR_Export!E151</f>
        <v>99215</v>
      </c>
      <c r="F154" s="7" t="str">
        <f aca="false">INDEX(Billing_Export!$B$2:$B$221,MATCH(A154,Billing_Export!$A$2:$A$221,0))</f>
        <v>Medicare</v>
      </c>
      <c r="G154" s="14" t="n">
        <f aca="false">INDEX(Billing_Export!$C$2:$C$221,MATCH(A154,Billing_Export!$A$2:$A$221,0))</f>
        <v>232.95</v>
      </c>
      <c r="H154" s="14" t="n">
        <f aca="false">INDEX(Billing_Export!$D$2:$D$221,MATCH(A154,Billing_Export!$A$2:$A$221,0))</f>
        <v>201.79</v>
      </c>
      <c r="I154" s="7" t="str">
        <f aca="false">INDEX(Billing_Export!$E$2:$E$221,MATCH(A154,Billing_Export!$A$2:$A$221,0))</f>
        <v>Paid</v>
      </c>
      <c r="J154" s="7" t="str">
        <f aca="false">INDEX(Billing_Export!$F$2:$F$221,MATCH(A154,Billing_Export!$A$2:$A$221,0))</f>
        <v>None</v>
      </c>
    </row>
    <row r="155" customFormat="false" ht="15" hidden="false" customHeight="false" outlineLevel="0" collapsed="false">
      <c r="A155" s="12" t="n">
        <f aca="false">EHR_Export!A152</f>
        <v>100151</v>
      </c>
      <c r="B155" s="12" t="str">
        <f aca="false">EHR_Export!B152</f>
        <v>Dr. C. Okafor</v>
      </c>
      <c r="C155" s="12" t="str">
        <f aca="false">EHR_Export!C152</f>
        <v>Cardiology</v>
      </c>
      <c r="D155" s="12" t="str">
        <f aca="false">EHR_Export!D152</f>
        <v>2025-04-21</v>
      </c>
      <c r="E155" s="12" t="str">
        <f aca="false">EHR_Export!E152</f>
        <v>36415</v>
      </c>
      <c r="F155" s="7" t="str">
        <f aca="false">INDEX(Billing_Export!$B$2:$B$221,MATCH(A155,Billing_Export!$A$2:$A$221,0))</f>
        <v>Commercial - Aetna</v>
      </c>
      <c r="G155" s="14" t="n">
        <f aca="false">INDEX(Billing_Export!$C$2:$C$221,MATCH(A155,Billing_Export!$A$2:$A$221,0))</f>
        <v>18.9</v>
      </c>
      <c r="H155" s="14" t="n">
        <f aca="false">INDEX(Billing_Export!$D$2:$D$221,MATCH(A155,Billing_Export!$A$2:$A$221,0))</f>
        <v>17.02</v>
      </c>
      <c r="I155" s="7" t="str">
        <f aca="false">INDEX(Billing_Export!$E$2:$E$221,MATCH(A155,Billing_Export!$A$2:$A$221,0))</f>
        <v>Paid</v>
      </c>
      <c r="J155" s="7" t="str">
        <f aca="false">INDEX(Billing_Export!$F$2:$F$221,MATCH(A155,Billing_Export!$A$2:$A$221,0))</f>
        <v>None</v>
      </c>
    </row>
    <row r="156" customFormat="false" ht="15" hidden="false" customHeight="false" outlineLevel="0" collapsed="false">
      <c r="A156" s="12" t="n">
        <f aca="false">EHR_Export!A153</f>
        <v>100152</v>
      </c>
      <c r="B156" s="12" t="str">
        <f aca="false">EHR_Export!B153</f>
        <v>Dr. G. Kim</v>
      </c>
      <c r="C156" s="12" t="str">
        <f aca="false">EHR_Export!C153</f>
        <v>Endocrinology</v>
      </c>
      <c r="D156" s="12" t="str">
        <f aca="false">EHR_Export!D153</f>
        <v>2025-02-13</v>
      </c>
      <c r="E156" s="12" t="str">
        <f aca="false">EHR_Export!E153</f>
        <v>80053</v>
      </c>
      <c r="F156" s="7" t="str">
        <f aca="false">INDEX(Billing_Export!$B$2:$B$221,MATCH(A156,Billing_Export!$A$2:$A$221,0))</f>
        <v>Commercial - Blue Shield</v>
      </c>
      <c r="G156" s="14" t="n">
        <f aca="false">INDEX(Billing_Export!$C$2:$C$221,MATCH(A156,Billing_Export!$A$2:$A$221,0))</f>
        <v>35.19</v>
      </c>
      <c r="H156" s="14" t="n">
        <f aca="false">INDEX(Billing_Export!$D$2:$D$221,MATCH(A156,Billing_Export!$A$2:$A$221,0))</f>
        <v>23.09</v>
      </c>
      <c r="I156" s="7" t="str">
        <f aca="false">INDEX(Billing_Export!$E$2:$E$221,MATCH(A156,Billing_Export!$A$2:$A$221,0))</f>
        <v>Paid</v>
      </c>
      <c r="J156" s="7" t="str">
        <f aca="false">INDEX(Billing_Export!$F$2:$F$221,MATCH(A156,Billing_Export!$A$2:$A$221,0))</f>
        <v>None</v>
      </c>
    </row>
    <row r="157" customFormat="false" ht="15" hidden="false" customHeight="false" outlineLevel="0" collapsed="false">
      <c r="A157" s="12" t="n">
        <f aca="false">EHR_Export!A154</f>
        <v>100153</v>
      </c>
      <c r="B157" s="12" t="str">
        <f aca="false">EHR_Export!B154</f>
        <v>Dr. A. Reyes</v>
      </c>
      <c r="C157" s="12" t="str">
        <f aca="false">EHR_Export!C154</f>
        <v>Nephrology</v>
      </c>
      <c r="D157" s="12" t="str">
        <f aca="false">EHR_Export!D154</f>
        <v>2025-08-06</v>
      </c>
      <c r="E157" s="12" t="str">
        <f aca="false">EHR_Export!E154</f>
        <v>99215</v>
      </c>
      <c r="F157" s="7" t="str">
        <f aca="false">INDEX(Billing_Export!$B$2:$B$221,MATCH(A157,Billing_Export!$A$2:$A$221,0))</f>
        <v>Medicaid</v>
      </c>
      <c r="G157" s="14" t="n">
        <f aca="false">INDEX(Billing_Export!$C$2:$C$221,MATCH(A157,Billing_Export!$A$2:$A$221,0))</f>
        <v>180.23</v>
      </c>
      <c r="H157" s="14" t="n">
        <f aca="false">INDEX(Billing_Export!$D$2:$D$221,MATCH(A157,Billing_Export!$A$2:$A$221,0))</f>
        <v>120.59</v>
      </c>
      <c r="I157" s="7" t="str">
        <f aca="false">INDEX(Billing_Export!$E$2:$E$221,MATCH(A157,Billing_Export!$A$2:$A$221,0))</f>
        <v>Paid</v>
      </c>
      <c r="J157" s="7" t="str">
        <f aca="false">INDEX(Billing_Export!$F$2:$F$221,MATCH(A157,Billing_Export!$A$2:$A$221,0))</f>
        <v>None</v>
      </c>
    </row>
    <row r="158" customFormat="false" ht="15" hidden="false" customHeight="false" outlineLevel="0" collapsed="false">
      <c r="A158" s="12" t="n">
        <f aca="false">EHR_Export!A155</f>
        <v>100154</v>
      </c>
      <c r="B158" s="12" t="str">
        <f aca="false">EHR_Export!B155</f>
        <v>Dr. H. Thompson</v>
      </c>
      <c r="C158" s="12" t="str">
        <f aca="false">EHR_Export!C155</f>
        <v>Family Medicine</v>
      </c>
      <c r="D158" s="12" t="str">
        <f aca="false">EHR_Export!D155</f>
        <v>2025-02-26</v>
      </c>
      <c r="E158" s="12" t="str">
        <f aca="false">EHR_Export!E155</f>
        <v>80053</v>
      </c>
      <c r="F158" s="7" t="str">
        <f aca="false">INDEX(Billing_Export!$B$2:$B$221,MATCH(A158,Billing_Export!$A$2:$A$221,0))</f>
        <v>Commercial - Aetna</v>
      </c>
      <c r="G158" s="14" t="n">
        <f aca="false">INDEX(Billing_Export!$C$2:$C$221,MATCH(A158,Billing_Export!$A$2:$A$221,0))</f>
        <v>36.08</v>
      </c>
      <c r="H158" s="14" t="n">
        <f aca="false">INDEX(Billing_Export!$D$2:$D$221,MATCH(A158,Billing_Export!$A$2:$A$221,0))</f>
        <v>26.75</v>
      </c>
      <c r="I158" s="7" t="str">
        <f aca="false">INDEX(Billing_Export!$E$2:$E$221,MATCH(A158,Billing_Export!$A$2:$A$221,0))</f>
        <v>Paid</v>
      </c>
      <c r="J158" s="7" t="str">
        <f aca="false">INDEX(Billing_Export!$F$2:$F$221,MATCH(A158,Billing_Export!$A$2:$A$221,0))</f>
        <v>None</v>
      </c>
    </row>
    <row r="159" customFormat="false" ht="15" hidden="false" customHeight="false" outlineLevel="0" collapsed="false">
      <c r="A159" s="12" t="n">
        <f aca="false">EHR_Export!A156</f>
        <v>100155</v>
      </c>
      <c r="B159" s="12" t="str">
        <f aca="false">EHR_Export!B156</f>
        <v>Dr. E. Patel</v>
      </c>
      <c r="C159" s="12" t="str">
        <f aca="false">EHR_Export!C156</f>
        <v>Internal Medicine</v>
      </c>
      <c r="D159" s="12" t="str">
        <f aca="false">EHR_Export!D156</f>
        <v>2025-01-29</v>
      </c>
      <c r="E159" s="12" t="str">
        <f aca="false">EHR_Export!E156</f>
        <v>80053</v>
      </c>
      <c r="F159" s="7" t="str">
        <f aca="false">INDEX(Billing_Export!$B$2:$B$221,MATCH(A159,Billing_Export!$A$2:$A$221,0))</f>
        <v>Commercial - Aetna</v>
      </c>
      <c r="G159" s="14" t="n">
        <f aca="false">INDEX(Billing_Export!$C$2:$C$221,MATCH(A159,Billing_Export!$A$2:$A$221,0))</f>
        <v>37.45</v>
      </c>
      <c r="H159" s="14" t="n">
        <f aca="false">INDEX(Billing_Export!$D$2:$D$221,MATCH(A159,Billing_Export!$A$2:$A$221,0))</f>
        <v>27.78</v>
      </c>
      <c r="I159" s="7" t="str">
        <f aca="false">INDEX(Billing_Export!$E$2:$E$221,MATCH(A159,Billing_Export!$A$2:$A$221,0))</f>
        <v>Paid</v>
      </c>
      <c r="J159" s="7" t="str">
        <f aca="false">INDEX(Billing_Export!$F$2:$F$221,MATCH(A159,Billing_Export!$A$2:$A$221,0))</f>
        <v>None</v>
      </c>
    </row>
    <row r="160" customFormat="false" ht="15" hidden="false" customHeight="false" outlineLevel="0" collapsed="false">
      <c r="A160" s="12" t="n">
        <f aca="false">EHR_Export!A157</f>
        <v>100156</v>
      </c>
      <c r="B160" s="12" t="str">
        <f aca="false">EHR_Export!B157</f>
        <v>Dr. A. Reyes</v>
      </c>
      <c r="C160" s="12" t="str">
        <f aca="false">EHR_Export!C157</f>
        <v>Nephrology</v>
      </c>
      <c r="D160" s="12" t="str">
        <f aca="false">EHR_Export!D157</f>
        <v>2025-03-03</v>
      </c>
      <c r="E160" s="12" t="str">
        <f aca="false">EHR_Export!E157</f>
        <v>99204</v>
      </c>
      <c r="F160" s="7" t="str">
        <f aca="false">INDEX(Billing_Export!$B$2:$B$221,MATCH(A160,Billing_Export!$A$2:$A$221,0))</f>
        <v>Medicaid</v>
      </c>
      <c r="G160" s="14" t="n">
        <f aca="false">INDEX(Billing_Export!$C$2:$C$221,MATCH(A160,Billing_Export!$A$2:$A$221,0))</f>
        <v>185.9</v>
      </c>
      <c r="H160" s="14" t="n">
        <f aca="false">INDEX(Billing_Export!$D$2:$D$221,MATCH(A160,Billing_Export!$A$2:$A$221,0))</f>
        <v>89.43</v>
      </c>
      <c r="I160" s="7" t="str">
        <f aca="false">INDEX(Billing_Export!$E$2:$E$221,MATCH(A160,Billing_Export!$A$2:$A$221,0))</f>
        <v>Paid</v>
      </c>
      <c r="J160" s="7" t="str">
        <f aca="false">INDEX(Billing_Export!$F$2:$F$221,MATCH(A160,Billing_Export!$A$2:$A$221,0))</f>
        <v>None</v>
      </c>
    </row>
    <row r="161" customFormat="false" ht="15" hidden="false" customHeight="false" outlineLevel="0" collapsed="false">
      <c r="A161" s="12" t="n">
        <f aca="false">EHR_Export!A158</f>
        <v>100157</v>
      </c>
      <c r="B161" s="12" t="str">
        <f aca="false">EHR_Export!B158</f>
        <v>Dr. A. Reyes</v>
      </c>
      <c r="C161" s="12" t="str">
        <f aca="false">EHR_Export!C158</f>
        <v>Nephrology</v>
      </c>
      <c r="D161" s="12" t="str">
        <f aca="false">EHR_Export!D158</f>
        <v>2025-07-01</v>
      </c>
      <c r="E161" s="12" t="str">
        <f aca="false">EHR_Export!E158</f>
        <v>36415</v>
      </c>
      <c r="F161" s="7" t="str">
        <f aca="false">INDEX(Billing_Export!$B$2:$B$221,MATCH(A161,Billing_Export!$A$2:$A$221,0))</f>
        <v>Commercial - Blue Shield</v>
      </c>
      <c r="G161" s="14" t="n">
        <f aca="false">INDEX(Billing_Export!$C$2:$C$221,MATCH(A161,Billing_Export!$A$2:$A$221,0))</f>
        <v>19.67</v>
      </c>
      <c r="H161" s="14" t="n">
        <f aca="false">INDEX(Billing_Export!$D$2:$D$221,MATCH(A161,Billing_Export!$A$2:$A$221,0))</f>
        <v>12.8</v>
      </c>
      <c r="I161" s="7" t="str">
        <f aca="false">INDEX(Billing_Export!$E$2:$E$221,MATCH(A161,Billing_Export!$A$2:$A$221,0))</f>
        <v>Paid</v>
      </c>
      <c r="J161" s="7" t="str">
        <f aca="false">INDEX(Billing_Export!$F$2:$F$221,MATCH(A161,Billing_Export!$A$2:$A$221,0))</f>
        <v>None</v>
      </c>
    </row>
    <row r="162" customFormat="false" ht="15" hidden="false" customHeight="false" outlineLevel="0" collapsed="false">
      <c r="A162" s="12" t="n">
        <f aca="false">EHR_Export!A159</f>
        <v>100158</v>
      </c>
      <c r="B162" s="12" t="str">
        <f aca="false">EHR_Export!B159</f>
        <v>Dr. B. Chen</v>
      </c>
      <c r="C162" s="12" t="str">
        <f aca="false">EHR_Export!C159</f>
        <v>Nephrology</v>
      </c>
      <c r="D162" s="12" t="str">
        <f aca="false">EHR_Export!D159</f>
        <v>2025-08-08</v>
      </c>
      <c r="E162" s="12" t="str">
        <f aca="false">EHR_Export!E159</f>
        <v>99213</v>
      </c>
      <c r="F162" s="7" t="str">
        <f aca="false">INDEX(Billing_Export!$B$2:$B$221,MATCH(A162,Billing_Export!$A$2:$A$221,0))</f>
        <v>Commercial - Blue Shield</v>
      </c>
      <c r="G162" s="14" t="n">
        <f aca="false">INDEX(Billing_Export!$C$2:$C$221,MATCH(A162,Billing_Export!$A$2:$A$221,0))</f>
        <v>158.86</v>
      </c>
      <c r="H162" s="14" t="n">
        <f aca="false">INDEX(Billing_Export!$D$2:$D$221,MATCH(A162,Billing_Export!$A$2:$A$221,0))</f>
        <v>116.68</v>
      </c>
      <c r="I162" s="7" t="str">
        <f aca="false">INDEX(Billing_Export!$E$2:$E$221,MATCH(A162,Billing_Export!$A$2:$A$221,0))</f>
        <v>Paid</v>
      </c>
      <c r="J162" s="7" t="str">
        <f aca="false">INDEX(Billing_Export!$F$2:$F$221,MATCH(A162,Billing_Export!$A$2:$A$221,0))</f>
        <v>None</v>
      </c>
    </row>
    <row r="163" customFormat="false" ht="15" hidden="false" customHeight="false" outlineLevel="0" collapsed="false">
      <c r="A163" s="12" t="n">
        <f aca="false">EHR_Export!A160</f>
        <v>100159</v>
      </c>
      <c r="B163" s="12" t="str">
        <f aca="false">EHR_Export!B160</f>
        <v>Dr. G. Kim</v>
      </c>
      <c r="C163" s="12" t="str">
        <f aca="false">EHR_Export!C160</f>
        <v>Endocrinology</v>
      </c>
      <c r="D163" s="12" t="str">
        <f aca="false">EHR_Export!D160</f>
        <v>2025-08-24</v>
      </c>
      <c r="E163" s="12" t="str">
        <f aca="false">EHR_Export!E160</f>
        <v>99204</v>
      </c>
      <c r="F163" s="7" t="str">
        <f aca="false">INDEX(Billing_Export!$B$2:$B$221,MATCH(A163,Billing_Export!$A$2:$A$221,0))</f>
        <v>Commercial - Blue Shield</v>
      </c>
      <c r="G163" s="14" t="n">
        <f aca="false">INDEX(Billing_Export!$C$2:$C$221,MATCH(A163,Billing_Export!$A$2:$A$221,0))</f>
        <v>276.42</v>
      </c>
      <c r="H163" s="14" t="n">
        <f aca="false">INDEX(Billing_Export!$D$2:$D$221,MATCH(A163,Billing_Export!$A$2:$A$221,0))</f>
        <v>234.16</v>
      </c>
      <c r="I163" s="7" t="str">
        <f aca="false">INDEX(Billing_Export!$E$2:$E$221,MATCH(A163,Billing_Export!$A$2:$A$221,0))</f>
        <v>Paid</v>
      </c>
      <c r="J163" s="7" t="str">
        <f aca="false">INDEX(Billing_Export!$F$2:$F$221,MATCH(A163,Billing_Export!$A$2:$A$221,0))</f>
        <v>None</v>
      </c>
    </row>
    <row r="164" customFormat="false" ht="15" hidden="false" customHeight="false" outlineLevel="0" collapsed="false">
      <c r="A164" s="12" t="n">
        <f aca="false">EHR_Export!A161</f>
        <v>100160</v>
      </c>
      <c r="B164" s="12" t="str">
        <f aca="false">EHR_Export!B161</f>
        <v>Dr. F. Martinez</v>
      </c>
      <c r="C164" s="12" t="str">
        <f aca="false">EHR_Export!C161</f>
        <v>Internal Medicine</v>
      </c>
      <c r="D164" s="12" t="str">
        <f aca="false">EHR_Export!D161</f>
        <v>2025-07-22</v>
      </c>
      <c r="E164" s="12" t="str">
        <f aca="false">EHR_Export!E161</f>
        <v>36415</v>
      </c>
      <c r="F164" s="7" t="str">
        <f aca="false">INDEX(Billing_Export!$B$2:$B$221,MATCH(A164,Billing_Export!$A$2:$A$221,0))</f>
        <v>Medicare</v>
      </c>
      <c r="G164" s="14" t="n">
        <f aca="false">INDEX(Billing_Export!$C$2:$C$221,MATCH(A164,Billing_Export!$A$2:$A$221,0))</f>
        <v>18.36</v>
      </c>
      <c r="H164" s="14" t="n">
        <f aca="false">INDEX(Billing_Export!$D$2:$D$221,MATCH(A164,Billing_Export!$A$2:$A$221,0))</f>
        <v>12.02</v>
      </c>
      <c r="I164" s="7" t="str">
        <f aca="false">INDEX(Billing_Export!$E$2:$E$221,MATCH(A164,Billing_Export!$A$2:$A$221,0))</f>
        <v>Paid</v>
      </c>
      <c r="J164" s="7" t="str">
        <f aca="false">INDEX(Billing_Export!$F$2:$F$221,MATCH(A164,Billing_Export!$A$2:$A$221,0))</f>
        <v>None</v>
      </c>
    </row>
    <row r="165" customFormat="false" ht="15" hidden="false" customHeight="false" outlineLevel="0" collapsed="false">
      <c r="A165" s="12" t="n">
        <f aca="false">EHR_Export!A162</f>
        <v>100161</v>
      </c>
      <c r="B165" s="12" t="str">
        <f aca="false">EHR_Export!B162</f>
        <v>Dr. E. Patel</v>
      </c>
      <c r="C165" s="12" t="str">
        <f aca="false">EHR_Export!C162</f>
        <v>Internal Medicine</v>
      </c>
      <c r="D165" s="12" t="str">
        <f aca="false">EHR_Export!D162</f>
        <v>2025-09-19</v>
      </c>
      <c r="E165" s="12" t="str">
        <f aca="false">EHR_Export!E162</f>
        <v>99203</v>
      </c>
      <c r="F165" s="7" t="str">
        <f aca="false">INDEX(Billing_Export!$B$2:$B$221,MATCH(A165,Billing_Export!$A$2:$A$221,0))</f>
        <v>Kaiser HMO</v>
      </c>
      <c r="G165" s="14" t="n">
        <f aca="false">INDEX(Billing_Export!$C$2:$C$221,MATCH(A165,Billing_Export!$A$2:$A$221,0))</f>
        <v>155.99</v>
      </c>
      <c r="H165" s="14" t="n">
        <f aca="false">INDEX(Billing_Export!$D$2:$D$221,MATCH(A165,Billing_Export!$A$2:$A$221,0))</f>
        <v>117.22</v>
      </c>
      <c r="I165" s="7" t="str">
        <f aca="false">INDEX(Billing_Export!$E$2:$E$221,MATCH(A165,Billing_Export!$A$2:$A$221,0))</f>
        <v>Paid</v>
      </c>
      <c r="J165" s="7" t="str">
        <f aca="false">INDEX(Billing_Export!$F$2:$F$221,MATCH(A165,Billing_Export!$A$2:$A$221,0))</f>
        <v>None</v>
      </c>
    </row>
    <row r="166" customFormat="false" ht="15" hidden="false" customHeight="false" outlineLevel="0" collapsed="false">
      <c r="A166" s="12" t="n">
        <f aca="false">EHR_Export!A163</f>
        <v>100162</v>
      </c>
      <c r="B166" s="12" t="str">
        <f aca="false">EHR_Export!B163</f>
        <v>Dr. D. Nguyen</v>
      </c>
      <c r="C166" s="12" t="str">
        <f aca="false">EHR_Export!C163</f>
        <v>Cardiology</v>
      </c>
      <c r="D166" s="12" t="str">
        <f aca="false">EHR_Export!D163</f>
        <v>2025-03-16</v>
      </c>
      <c r="E166" s="12" t="str">
        <f aca="false">EHR_Export!E163</f>
        <v>90935</v>
      </c>
      <c r="F166" s="7" t="str">
        <f aca="false">INDEX(Billing_Export!$B$2:$B$221,MATCH(A166,Billing_Export!$A$2:$A$221,0))</f>
        <v>Kaiser HMO</v>
      </c>
      <c r="G166" s="14" t="n">
        <f aca="false">INDEX(Billing_Export!$C$2:$C$221,MATCH(A166,Billing_Export!$A$2:$A$221,0))</f>
        <v>228.98</v>
      </c>
      <c r="H166" s="14" t="n">
        <f aca="false">INDEX(Billing_Export!$D$2:$D$221,MATCH(A166,Billing_Export!$A$2:$A$221,0))</f>
        <v>115.82</v>
      </c>
      <c r="I166" s="7" t="str">
        <f aca="false">INDEX(Billing_Export!$E$2:$E$221,MATCH(A166,Billing_Export!$A$2:$A$221,0))</f>
        <v>Paid</v>
      </c>
      <c r="J166" s="7" t="str">
        <f aca="false">INDEX(Billing_Export!$F$2:$F$221,MATCH(A166,Billing_Export!$A$2:$A$221,0))</f>
        <v>None</v>
      </c>
    </row>
    <row r="167" customFormat="false" ht="15" hidden="false" customHeight="false" outlineLevel="0" collapsed="false">
      <c r="A167" s="12" t="n">
        <f aca="false">EHR_Export!A164</f>
        <v>100163</v>
      </c>
      <c r="B167" s="12" t="str">
        <f aca="false">EHR_Export!B164</f>
        <v>Dr. E. Patel</v>
      </c>
      <c r="C167" s="12" t="str">
        <f aca="false">EHR_Export!C164</f>
        <v>Internal Medicine</v>
      </c>
      <c r="D167" s="12" t="str">
        <f aca="false">EHR_Export!D164</f>
        <v>2025-09-10</v>
      </c>
      <c r="E167" s="12" t="str">
        <f aca="false">EHR_Export!E164</f>
        <v>99215</v>
      </c>
      <c r="F167" s="7" t="str">
        <f aca="false">INDEX(Billing_Export!$B$2:$B$221,MATCH(A167,Billing_Export!$A$2:$A$221,0))</f>
        <v>Medicaid</v>
      </c>
      <c r="G167" s="14" t="n">
        <f aca="false">INDEX(Billing_Export!$C$2:$C$221,MATCH(A167,Billing_Export!$A$2:$A$221,0))</f>
        <v>171.95</v>
      </c>
      <c r="H167" s="14" t="n">
        <f aca="false">INDEX(Billing_Export!$D$2:$D$221,MATCH(A167,Billing_Export!$A$2:$A$221,0))</f>
        <v>88.99</v>
      </c>
      <c r="I167" s="7" t="str">
        <f aca="false">INDEX(Billing_Export!$E$2:$E$221,MATCH(A167,Billing_Export!$A$2:$A$221,0))</f>
        <v>Paid</v>
      </c>
      <c r="J167" s="7" t="str">
        <f aca="false">INDEX(Billing_Export!$F$2:$F$221,MATCH(A167,Billing_Export!$A$2:$A$221,0))</f>
        <v>None</v>
      </c>
    </row>
    <row r="168" customFormat="false" ht="15" hidden="false" customHeight="false" outlineLevel="0" collapsed="false">
      <c r="A168" s="12" t="n">
        <f aca="false">EHR_Export!A165</f>
        <v>100164</v>
      </c>
      <c r="B168" s="12" t="str">
        <f aca="false">EHR_Export!B165</f>
        <v>Dr. H. Thompson</v>
      </c>
      <c r="C168" s="12" t="str">
        <f aca="false">EHR_Export!C165</f>
        <v>Family Medicine</v>
      </c>
      <c r="D168" s="12" t="str">
        <f aca="false">EHR_Export!D165</f>
        <v>2025-06-15</v>
      </c>
      <c r="E168" s="12" t="str">
        <f aca="false">EHR_Export!E165</f>
        <v>71046</v>
      </c>
      <c r="F168" s="7" t="str">
        <f aca="false">INDEX(Billing_Export!$B$2:$B$221,MATCH(A168,Billing_Export!$A$2:$A$221,0))</f>
        <v>Commercial - Aetna</v>
      </c>
      <c r="G168" s="14" t="n">
        <f aca="false">INDEX(Billing_Export!$C$2:$C$221,MATCH(A168,Billing_Export!$A$2:$A$221,0))</f>
        <v>83.82</v>
      </c>
      <c r="H168" s="14" t="n">
        <f aca="false">INDEX(Billing_Export!$D$2:$D$221,MATCH(A168,Billing_Export!$A$2:$A$221,0))</f>
        <v>0</v>
      </c>
      <c r="I168" s="7" t="str">
        <f aca="false">INDEX(Billing_Export!$E$2:$E$221,MATCH(A168,Billing_Export!$A$2:$A$221,0))</f>
        <v>Denied</v>
      </c>
      <c r="J168" s="7" t="str">
        <f aca="false">INDEX(Billing_Export!$F$2:$F$221,MATCH(A168,Billing_Export!$A$2:$A$221,0))</f>
        <v>Duplicate Claim</v>
      </c>
    </row>
    <row r="169" customFormat="false" ht="15" hidden="false" customHeight="false" outlineLevel="0" collapsed="false">
      <c r="A169" s="12" t="n">
        <f aca="false">EHR_Export!A166</f>
        <v>100165</v>
      </c>
      <c r="B169" s="12" t="str">
        <f aca="false">EHR_Export!B166</f>
        <v>Dr. F. Martinez</v>
      </c>
      <c r="C169" s="12" t="str">
        <f aca="false">EHR_Export!C166</f>
        <v>Internal Medicine</v>
      </c>
      <c r="D169" s="12" t="str">
        <f aca="false">EHR_Export!D166</f>
        <v>2025-01-29</v>
      </c>
      <c r="E169" s="12" t="str">
        <f aca="false">EHR_Export!E166</f>
        <v>80053</v>
      </c>
      <c r="F169" s="7" t="str">
        <f aca="false">INDEX(Billing_Export!$B$2:$B$221,MATCH(A169,Billing_Export!$A$2:$A$221,0))</f>
        <v>Medicaid</v>
      </c>
      <c r="G169" s="14" t="n">
        <f aca="false">INDEX(Billing_Export!$C$2:$C$221,MATCH(A169,Billing_Export!$A$2:$A$221,0))</f>
        <v>16.53</v>
      </c>
      <c r="H169" s="14" t="n">
        <f aca="false">INDEX(Billing_Export!$D$2:$D$221,MATCH(A169,Billing_Export!$A$2:$A$221,0))</f>
        <v>13.81</v>
      </c>
      <c r="I169" s="7" t="str">
        <f aca="false">INDEX(Billing_Export!$E$2:$E$221,MATCH(A169,Billing_Export!$A$2:$A$221,0))</f>
        <v>Paid</v>
      </c>
      <c r="J169" s="7" t="str">
        <f aca="false">INDEX(Billing_Export!$F$2:$F$221,MATCH(A169,Billing_Export!$A$2:$A$221,0))</f>
        <v>None</v>
      </c>
    </row>
    <row r="170" customFormat="false" ht="15" hidden="false" customHeight="false" outlineLevel="0" collapsed="false">
      <c r="A170" s="12" t="n">
        <f aca="false">EHR_Export!A167</f>
        <v>100166</v>
      </c>
      <c r="B170" s="12" t="str">
        <f aca="false">EHR_Export!B167</f>
        <v>Dr. F. Martinez</v>
      </c>
      <c r="C170" s="12" t="str">
        <f aca="false">EHR_Export!C167</f>
        <v>Internal Medicine</v>
      </c>
      <c r="D170" s="12" t="str">
        <f aca="false">EHR_Export!D167</f>
        <v>2025-02-09</v>
      </c>
      <c r="E170" s="12" t="str">
        <f aca="false">EHR_Export!E167</f>
        <v>99214</v>
      </c>
      <c r="F170" s="7" t="str">
        <f aca="false">INDEX(Billing_Export!$B$2:$B$221,MATCH(A170,Billing_Export!$A$2:$A$221,0))</f>
        <v>Commercial - Aetna</v>
      </c>
      <c r="G170" s="14" t="n">
        <f aca="false">INDEX(Billing_Export!$C$2:$C$221,MATCH(A170,Billing_Export!$A$2:$A$221,0))</f>
        <v>212.8</v>
      </c>
      <c r="H170" s="14" t="n">
        <f aca="false">INDEX(Billing_Export!$D$2:$D$221,MATCH(A170,Billing_Export!$A$2:$A$221,0))</f>
        <v>168.28</v>
      </c>
      <c r="I170" s="7" t="str">
        <f aca="false">INDEX(Billing_Export!$E$2:$E$221,MATCH(A170,Billing_Export!$A$2:$A$221,0))</f>
        <v>Paid</v>
      </c>
      <c r="J170" s="7" t="str">
        <f aca="false">INDEX(Billing_Export!$F$2:$F$221,MATCH(A170,Billing_Export!$A$2:$A$221,0))</f>
        <v>None</v>
      </c>
    </row>
    <row r="171" customFormat="false" ht="15" hidden="false" customHeight="false" outlineLevel="0" collapsed="false">
      <c r="A171" s="12" t="n">
        <f aca="false">EHR_Export!A168</f>
        <v>100167</v>
      </c>
      <c r="B171" s="12" t="str">
        <f aca="false">EHR_Export!B168</f>
        <v>Dr. B. Chen</v>
      </c>
      <c r="C171" s="12" t="str">
        <f aca="false">EHR_Export!C168</f>
        <v>Nephrology</v>
      </c>
      <c r="D171" s="12" t="str">
        <f aca="false">EHR_Export!D168</f>
        <v>2025-01-22</v>
      </c>
      <c r="E171" s="12" t="str">
        <f aca="false">EHR_Export!E168</f>
        <v>71046</v>
      </c>
      <c r="F171" s="7" t="str">
        <f aca="false">INDEX(Billing_Export!$B$2:$B$221,MATCH(A171,Billing_Export!$A$2:$A$221,0))</f>
        <v>Commercial - Aetna</v>
      </c>
      <c r="G171" s="14" t="n">
        <f aca="false">INDEX(Billing_Export!$C$2:$C$221,MATCH(A171,Billing_Export!$A$2:$A$221,0))</f>
        <v>85.45</v>
      </c>
      <c r="H171" s="14" t="n">
        <f aca="false">INDEX(Billing_Export!$D$2:$D$221,MATCH(A171,Billing_Export!$A$2:$A$221,0))</f>
        <v>63.09</v>
      </c>
      <c r="I171" s="7" t="str">
        <f aca="false">INDEX(Billing_Export!$E$2:$E$221,MATCH(A171,Billing_Export!$A$2:$A$221,0))</f>
        <v>Paid</v>
      </c>
      <c r="J171" s="7" t="str">
        <f aca="false">INDEX(Billing_Export!$F$2:$F$221,MATCH(A171,Billing_Export!$A$2:$A$221,0))</f>
        <v>None</v>
      </c>
    </row>
    <row r="172" customFormat="false" ht="15" hidden="false" customHeight="false" outlineLevel="0" collapsed="false">
      <c r="A172" s="12" t="n">
        <f aca="false">EHR_Export!A169</f>
        <v>100168</v>
      </c>
      <c r="B172" s="12" t="str">
        <f aca="false">EHR_Export!B169</f>
        <v>Dr. H. Thompson</v>
      </c>
      <c r="C172" s="12" t="str">
        <f aca="false">EHR_Export!C169</f>
        <v>Family Medicine</v>
      </c>
      <c r="D172" s="12" t="str">
        <f aca="false">EHR_Export!D169</f>
        <v>2025-02-22</v>
      </c>
      <c r="E172" s="12" t="str">
        <f aca="false">EHR_Export!E169</f>
        <v>99203</v>
      </c>
      <c r="F172" s="7" t="str">
        <f aca="false">INDEX(Billing_Export!$B$2:$B$221,MATCH(A172,Billing_Export!$A$2:$A$221,0))</f>
        <v>Commercial - Aetna</v>
      </c>
      <c r="G172" s="14" t="n">
        <f aca="false">INDEX(Billing_Export!$C$2:$C$221,MATCH(A172,Billing_Export!$A$2:$A$221,0))</f>
        <v>187.73</v>
      </c>
      <c r="H172" s="14" t="n">
        <f aca="false">INDEX(Billing_Export!$D$2:$D$221,MATCH(A172,Billing_Export!$A$2:$A$221,0))</f>
        <v>141.19</v>
      </c>
      <c r="I172" s="7" t="str">
        <f aca="false">INDEX(Billing_Export!$E$2:$E$221,MATCH(A172,Billing_Export!$A$2:$A$221,0))</f>
        <v>Paid</v>
      </c>
      <c r="J172" s="7" t="str">
        <f aca="false">INDEX(Billing_Export!$F$2:$F$221,MATCH(A172,Billing_Export!$A$2:$A$221,0))</f>
        <v>None</v>
      </c>
    </row>
    <row r="173" customFormat="false" ht="15" hidden="false" customHeight="false" outlineLevel="0" collapsed="false">
      <c r="A173" s="12" t="n">
        <f aca="false">EHR_Export!A170</f>
        <v>100169</v>
      </c>
      <c r="B173" s="12" t="str">
        <f aca="false">EHR_Export!B170</f>
        <v>Dr. F. Martinez</v>
      </c>
      <c r="C173" s="12" t="str">
        <f aca="false">EHR_Export!C170</f>
        <v>Internal Medicine</v>
      </c>
      <c r="D173" s="12" t="str">
        <f aca="false">EHR_Export!D170</f>
        <v>2025-09-26</v>
      </c>
      <c r="E173" s="12" t="str">
        <f aca="false">EHR_Export!E170</f>
        <v>93000</v>
      </c>
      <c r="F173" s="7" t="str">
        <f aca="false">INDEX(Billing_Export!$B$2:$B$221,MATCH(A173,Billing_Export!$A$2:$A$221,0))</f>
        <v>Medicare</v>
      </c>
      <c r="G173" s="14" t="n">
        <f aca="false">INDEX(Billing_Export!$C$2:$C$221,MATCH(A173,Billing_Export!$A$2:$A$221,0))</f>
        <v>48.99</v>
      </c>
      <c r="H173" s="14" t="n">
        <f aca="false">INDEX(Billing_Export!$D$2:$D$221,MATCH(A173,Billing_Export!$A$2:$A$221,0))</f>
        <v>30.54</v>
      </c>
      <c r="I173" s="7" t="str">
        <f aca="false">INDEX(Billing_Export!$E$2:$E$221,MATCH(A173,Billing_Export!$A$2:$A$221,0))</f>
        <v>Paid</v>
      </c>
      <c r="J173" s="7" t="str">
        <f aca="false">INDEX(Billing_Export!$F$2:$F$221,MATCH(A173,Billing_Export!$A$2:$A$221,0))</f>
        <v>None</v>
      </c>
    </row>
    <row r="174" customFormat="false" ht="15" hidden="false" customHeight="false" outlineLevel="0" collapsed="false">
      <c r="A174" s="12" t="n">
        <f aca="false">EHR_Export!A171</f>
        <v>100170</v>
      </c>
      <c r="B174" s="12" t="str">
        <f aca="false">EHR_Export!B171</f>
        <v>Dr. C. Okafor</v>
      </c>
      <c r="C174" s="12" t="str">
        <f aca="false">EHR_Export!C171</f>
        <v>Cardiology</v>
      </c>
      <c r="D174" s="12" t="str">
        <f aca="false">EHR_Export!D171</f>
        <v>2025-01-27</v>
      </c>
      <c r="E174" s="12" t="str">
        <f aca="false">EHR_Export!E171</f>
        <v>90935</v>
      </c>
      <c r="F174" s="7" t="str">
        <f aca="false">INDEX(Billing_Export!$B$2:$B$221,MATCH(A174,Billing_Export!$A$2:$A$221,0))</f>
        <v>Kaiser HMO</v>
      </c>
      <c r="G174" s="14" t="n">
        <f aca="false">INDEX(Billing_Export!$C$2:$C$221,MATCH(A174,Billing_Export!$A$2:$A$221,0))</f>
        <v>242.28</v>
      </c>
      <c r="H174" s="14" t="n">
        <f aca="false">INDEX(Billing_Export!$D$2:$D$221,MATCH(A174,Billing_Export!$A$2:$A$221,0))</f>
        <v>129.55</v>
      </c>
      <c r="I174" s="7" t="str">
        <f aca="false">INDEX(Billing_Export!$E$2:$E$221,MATCH(A174,Billing_Export!$A$2:$A$221,0))</f>
        <v>Paid</v>
      </c>
      <c r="J174" s="7" t="str">
        <f aca="false">INDEX(Billing_Export!$F$2:$F$221,MATCH(A174,Billing_Export!$A$2:$A$221,0))</f>
        <v>None</v>
      </c>
    </row>
    <row r="175" customFormat="false" ht="15" hidden="false" customHeight="false" outlineLevel="0" collapsed="false">
      <c r="A175" s="12" t="n">
        <f aca="false">EHR_Export!A172</f>
        <v>100171</v>
      </c>
      <c r="B175" s="12" t="str">
        <f aca="false">EHR_Export!B172</f>
        <v>Dr. F. Martinez</v>
      </c>
      <c r="C175" s="12" t="str">
        <f aca="false">EHR_Export!C172</f>
        <v>Internal Medicine</v>
      </c>
      <c r="D175" s="12" t="str">
        <f aca="false">EHR_Export!D172</f>
        <v>2025-03-18</v>
      </c>
      <c r="E175" s="12" t="str">
        <f aca="false">EHR_Export!E172</f>
        <v>90935</v>
      </c>
      <c r="F175" s="7" t="str">
        <f aca="false">INDEX(Billing_Export!$B$2:$B$221,MATCH(A175,Billing_Export!$A$2:$A$221,0))</f>
        <v>Medicare</v>
      </c>
      <c r="G175" s="14" t="n">
        <f aca="false">INDEX(Billing_Export!$C$2:$C$221,MATCH(A175,Billing_Export!$A$2:$A$221,0))</f>
        <v>172.92</v>
      </c>
      <c r="H175" s="14" t="n">
        <f aca="false">INDEX(Billing_Export!$D$2:$D$221,MATCH(A175,Billing_Export!$A$2:$A$221,0))</f>
        <v>146.95</v>
      </c>
      <c r="I175" s="7" t="str">
        <f aca="false">INDEX(Billing_Export!$E$2:$E$221,MATCH(A175,Billing_Export!$A$2:$A$221,0))</f>
        <v>Paid</v>
      </c>
      <c r="J175" s="7" t="str">
        <f aca="false">INDEX(Billing_Export!$F$2:$F$221,MATCH(A175,Billing_Export!$A$2:$A$221,0))</f>
        <v>None</v>
      </c>
    </row>
    <row r="176" customFormat="false" ht="15" hidden="false" customHeight="false" outlineLevel="0" collapsed="false">
      <c r="A176" s="12" t="n">
        <f aca="false">EHR_Export!A173</f>
        <v>100172</v>
      </c>
      <c r="B176" s="12" t="str">
        <f aca="false">EHR_Export!B173</f>
        <v>Dr. F. Martinez</v>
      </c>
      <c r="C176" s="12" t="str">
        <f aca="false">EHR_Export!C173</f>
        <v>Internal Medicine</v>
      </c>
      <c r="D176" s="12" t="str">
        <f aca="false">EHR_Export!D173</f>
        <v>2025-07-20</v>
      </c>
      <c r="E176" s="12" t="str">
        <f aca="false">EHR_Export!E173</f>
        <v>71046</v>
      </c>
      <c r="F176" s="7" t="str">
        <f aca="false">INDEX(Billing_Export!$B$2:$B$221,MATCH(A176,Billing_Export!$A$2:$A$221,0))</f>
        <v>Medicare</v>
      </c>
      <c r="G176" s="14" t="n">
        <f aca="false">INDEX(Billing_Export!$C$2:$C$221,MATCH(A176,Billing_Export!$A$2:$A$221,0))</f>
        <v>69.53</v>
      </c>
      <c r="H176" s="14" t="n">
        <f aca="false">INDEX(Billing_Export!$D$2:$D$221,MATCH(A176,Billing_Export!$A$2:$A$221,0))</f>
        <v>48.45</v>
      </c>
      <c r="I176" s="7" t="str">
        <f aca="false">INDEX(Billing_Export!$E$2:$E$221,MATCH(A176,Billing_Export!$A$2:$A$221,0))</f>
        <v>Paid</v>
      </c>
      <c r="J176" s="7" t="str">
        <f aca="false">INDEX(Billing_Export!$F$2:$F$221,MATCH(A176,Billing_Export!$A$2:$A$221,0))</f>
        <v>None</v>
      </c>
    </row>
    <row r="177" customFormat="false" ht="15" hidden="false" customHeight="false" outlineLevel="0" collapsed="false">
      <c r="A177" s="12" t="n">
        <f aca="false">EHR_Export!A174</f>
        <v>100173</v>
      </c>
      <c r="B177" s="12" t="str">
        <f aca="false">EHR_Export!B174</f>
        <v>Dr. C. Okafor</v>
      </c>
      <c r="C177" s="12" t="str">
        <f aca="false">EHR_Export!C174</f>
        <v>Cardiology</v>
      </c>
      <c r="D177" s="12" t="str">
        <f aca="false">EHR_Export!D174</f>
        <v>2025-09-27</v>
      </c>
      <c r="E177" s="12" t="str">
        <f aca="false">EHR_Export!E174</f>
        <v>99214</v>
      </c>
      <c r="F177" s="7" t="str">
        <f aca="false">INDEX(Billing_Export!$B$2:$B$221,MATCH(A177,Billing_Export!$A$2:$A$221,0))</f>
        <v>Commercial - Aetna</v>
      </c>
      <c r="G177" s="14" t="n">
        <f aca="false">INDEX(Billing_Export!$C$2:$C$221,MATCH(A177,Billing_Export!$A$2:$A$221,0))</f>
        <v>212.74</v>
      </c>
      <c r="H177" s="14" t="n">
        <f aca="false">INDEX(Billing_Export!$D$2:$D$221,MATCH(A177,Billing_Export!$A$2:$A$221,0))</f>
        <v>142.34</v>
      </c>
      <c r="I177" s="7" t="str">
        <f aca="false">INDEX(Billing_Export!$E$2:$E$221,MATCH(A177,Billing_Export!$A$2:$A$221,0))</f>
        <v>Paid</v>
      </c>
      <c r="J177" s="7" t="str">
        <f aca="false">INDEX(Billing_Export!$F$2:$F$221,MATCH(A177,Billing_Export!$A$2:$A$221,0))</f>
        <v>None</v>
      </c>
    </row>
    <row r="178" customFormat="false" ht="15" hidden="false" customHeight="false" outlineLevel="0" collapsed="false">
      <c r="A178" s="12" t="n">
        <f aca="false">EHR_Export!A175</f>
        <v>100174</v>
      </c>
      <c r="B178" s="12" t="str">
        <f aca="false">EHR_Export!B175</f>
        <v>Dr. B. Chen</v>
      </c>
      <c r="C178" s="12" t="str">
        <f aca="false">EHR_Export!C175</f>
        <v>Nephrology</v>
      </c>
      <c r="D178" s="12" t="str">
        <f aca="false">EHR_Export!D175</f>
        <v>2025-09-06</v>
      </c>
      <c r="E178" s="12" t="str">
        <f aca="false">EHR_Export!E175</f>
        <v>93000</v>
      </c>
      <c r="F178" s="7" t="str">
        <f aca="false">INDEX(Billing_Export!$B$2:$B$221,MATCH(A178,Billing_Export!$A$2:$A$221,0))</f>
        <v>Commercial - Blue Shield</v>
      </c>
      <c r="G178" s="14" t="n">
        <f aca="false">INDEX(Billing_Export!$C$2:$C$221,MATCH(A178,Billing_Export!$A$2:$A$221,0))</f>
        <v>57.76</v>
      </c>
      <c r="H178" s="14" t="n">
        <f aca="false">INDEX(Billing_Export!$D$2:$D$221,MATCH(A178,Billing_Export!$A$2:$A$221,0))</f>
        <v>43.25</v>
      </c>
      <c r="I178" s="7" t="str">
        <f aca="false">INDEX(Billing_Export!$E$2:$E$221,MATCH(A178,Billing_Export!$A$2:$A$221,0))</f>
        <v>Paid</v>
      </c>
      <c r="J178" s="7" t="str">
        <f aca="false">INDEX(Billing_Export!$F$2:$F$221,MATCH(A178,Billing_Export!$A$2:$A$221,0))</f>
        <v>None</v>
      </c>
    </row>
    <row r="179" customFormat="false" ht="15" hidden="false" customHeight="false" outlineLevel="0" collapsed="false">
      <c r="A179" s="12" t="n">
        <f aca="false">EHR_Export!A176</f>
        <v>100175</v>
      </c>
      <c r="B179" s="12" t="str">
        <f aca="false">EHR_Export!B176</f>
        <v>Dr. D. Nguyen</v>
      </c>
      <c r="C179" s="12" t="str">
        <f aca="false">EHR_Export!C176</f>
        <v>Cardiology</v>
      </c>
      <c r="D179" s="12" t="str">
        <f aca="false">EHR_Export!D176</f>
        <v>2025-09-27</v>
      </c>
      <c r="E179" s="12" t="str">
        <f aca="false">EHR_Export!E176</f>
        <v>99215</v>
      </c>
      <c r="F179" s="7" t="str">
        <f aca="false">INDEX(Billing_Export!$B$2:$B$221,MATCH(A179,Billing_Export!$A$2:$A$221,0))</f>
        <v>Medicaid</v>
      </c>
      <c r="G179" s="14" t="n">
        <f aca="false">INDEX(Billing_Export!$C$2:$C$221,MATCH(A179,Billing_Export!$A$2:$A$221,0))</f>
        <v>147.59</v>
      </c>
      <c r="H179" s="14" t="n">
        <f aca="false">INDEX(Billing_Export!$D$2:$D$221,MATCH(A179,Billing_Export!$A$2:$A$221,0))</f>
        <v>96.99</v>
      </c>
      <c r="I179" s="7" t="str">
        <f aca="false">INDEX(Billing_Export!$E$2:$E$221,MATCH(A179,Billing_Export!$A$2:$A$221,0))</f>
        <v>Paid</v>
      </c>
      <c r="J179" s="7" t="str">
        <f aca="false">INDEX(Billing_Export!$F$2:$F$221,MATCH(A179,Billing_Export!$A$2:$A$221,0))</f>
        <v>None</v>
      </c>
    </row>
    <row r="180" customFormat="false" ht="15" hidden="false" customHeight="false" outlineLevel="0" collapsed="false">
      <c r="A180" s="12" t="n">
        <f aca="false">EHR_Export!A177</f>
        <v>100176</v>
      </c>
      <c r="B180" s="12" t="str">
        <f aca="false">EHR_Export!B177</f>
        <v>Dr. A. Reyes</v>
      </c>
      <c r="C180" s="12" t="str">
        <f aca="false">EHR_Export!C177</f>
        <v>Nephrology</v>
      </c>
      <c r="D180" s="12" t="str">
        <f aca="false">EHR_Export!D177</f>
        <v>2025-03-26</v>
      </c>
      <c r="E180" s="12" t="str">
        <f aca="false">EHR_Export!E177</f>
        <v>71046</v>
      </c>
      <c r="F180" s="7" t="str">
        <f aca="false">INDEX(Billing_Export!$B$2:$B$221,MATCH(A180,Billing_Export!$A$2:$A$221,0))</f>
        <v>Kaiser HMO</v>
      </c>
      <c r="G180" s="14" t="n">
        <f aca="false">INDEX(Billing_Export!$C$2:$C$221,MATCH(A180,Billing_Export!$A$2:$A$221,0))</f>
        <v>61.66</v>
      </c>
      <c r="H180" s="14" t="n">
        <f aca="false">INDEX(Billing_Export!$D$2:$D$221,MATCH(A180,Billing_Export!$A$2:$A$221,0))</f>
        <v>52.01</v>
      </c>
      <c r="I180" s="7" t="str">
        <f aca="false">INDEX(Billing_Export!$E$2:$E$221,MATCH(A180,Billing_Export!$A$2:$A$221,0))</f>
        <v>Paid</v>
      </c>
      <c r="J180" s="7" t="str">
        <f aca="false">INDEX(Billing_Export!$F$2:$F$221,MATCH(A180,Billing_Export!$A$2:$A$221,0))</f>
        <v>None</v>
      </c>
    </row>
    <row r="181" customFormat="false" ht="15" hidden="false" customHeight="false" outlineLevel="0" collapsed="false">
      <c r="A181" s="12" t="n">
        <f aca="false">EHR_Export!A178</f>
        <v>100177</v>
      </c>
      <c r="B181" s="12" t="str">
        <f aca="false">EHR_Export!B178</f>
        <v>Dr. H. Thompson</v>
      </c>
      <c r="C181" s="12" t="str">
        <f aca="false">EHR_Export!C178</f>
        <v>Family Medicine</v>
      </c>
      <c r="D181" s="12" t="str">
        <f aca="false">EHR_Export!D178</f>
        <v>2025-08-18</v>
      </c>
      <c r="E181" s="12" t="str">
        <f aca="false">EHR_Export!E178</f>
        <v>36415</v>
      </c>
      <c r="F181" s="7" t="str">
        <f aca="false">INDEX(Billing_Export!$B$2:$B$221,MATCH(A181,Billing_Export!$A$2:$A$221,0))</f>
        <v>Medicare</v>
      </c>
      <c r="G181" s="14" t="n">
        <f aca="false">INDEX(Billing_Export!$C$2:$C$221,MATCH(A181,Billing_Export!$A$2:$A$221,0))</f>
        <v>15.77</v>
      </c>
      <c r="H181" s="14" t="n">
        <f aca="false">INDEX(Billing_Export!$D$2:$D$221,MATCH(A181,Billing_Export!$A$2:$A$221,0))</f>
        <v>13.7</v>
      </c>
      <c r="I181" s="7" t="str">
        <f aca="false">INDEX(Billing_Export!$E$2:$E$221,MATCH(A181,Billing_Export!$A$2:$A$221,0))</f>
        <v>Paid</v>
      </c>
      <c r="J181" s="7" t="str">
        <f aca="false">INDEX(Billing_Export!$F$2:$F$221,MATCH(A181,Billing_Export!$A$2:$A$221,0))</f>
        <v>None</v>
      </c>
    </row>
    <row r="182" customFormat="false" ht="15" hidden="false" customHeight="false" outlineLevel="0" collapsed="false">
      <c r="A182" s="12" t="n">
        <f aca="false">EHR_Export!A179</f>
        <v>100178</v>
      </c>
      <c r="B182" s="12" t="str">
        <f aca="false">EHR_Export!B179</f>
        <v>Dr. D. Nguyen</v>
      </c>
      <c r="C182" s="12" t="str">
        <f aca="false">EHR_Export!C179</f>
        <v>Cardiology</v>
      </c>
      <c r="D182" s="12" t="str">
        <f aca="false">EHR_Export!D179</f>
        <v>2025-07-08</v>
      </c>
      <c r="E182" s="12" t="str">
        <f aca="false">EHR_Export!E179</f>
        <v>99203</v>
      </c>
      <c r="F182" s="7" t="str">
        <f aca="false">INDEX(Billing_Export!$B$2:$B$221,MATCH(A182,Billing_Export!$A$2:$A$221,0))</f>
        <v>Commercial - Aetna</v>
      </c>
      <c r="G182" s="14" t="n">
        <f aca="false">INDEX(Billing_Export!$C$2:$C$221,MATCH(A182,Billing_Export!$A$2:$A$221,0))</f>
        <v>186.94</v>
      </c>
      <c r="H182" s="14" t="n">
        <f aca="false">INDEX(Billing_Export!$D$2:$D$221,MATCH(A182,Billing_Export!$A$2:$A$221,0))</f>
        <v>147.92</v>
      </c>
      <c r="I182" s="7" t="str">
        <f aca="false">INDEX(Billing_Export!$E$2:$E$221,MATCH(A182,Billing_Export!$A$2:$A$221,0))</f>
        <v>Paid</v>
      </c>
      <c r="J182" s="7" t="str">
        <f aca="false">INDEX(Billing_Export!$F$2:$F$221,MATCH(A182,Billing_Export!$A$2:$A$221,0))</f>
        <v>None</v>
      </c>
    </row>
    <row r="183" customFormat="false" ht="15" hidden="false" customHeight="false" outlineLevel="0" collapsed="false">
      <c r="A183" s="12" t="n">
        <f aca="false">EHR_Export!A180</f>
        <v>100179</v>
      </c>
      <c r="B183" s="12" t="str">
        <f aca="false">EHR_Export!B180</f>
        <v>Dr. H. Thompson</v>
      </c>
      <c r="C183" s="12" t="str">
        <f aca="false">EHR_Export!C180</f>
        <v>Family Medicine</v>
      </c>
      <c r="D183" s="12" t="str">
        <f aca="false">EHR_Export!D180</f>
        <v>2025-04-13</v>
      </c>
      <c r="E183" s="12" t="str">
        <f aca="false">EHR_Export!E180</f>
        <v>99204</v>
      </c>
      <c r="F183" s="7" t="str">
        <f aca="false">INDEX(Billing_Export!$B$2:$B$221,MATCH(A183,Billing_Export!$A$2:$A$221,0))</f>
        <v>Commercial - Blue Shield</v>
      </c>
      <c r="G183" s="14" t="n">
        <f aca="false">INDEX(Billing_Export!$C$2:$C$221,MATCH(A183,Billing_Export!$A$2:$A$221,0))</f>
        <v>345.04</v>
      </c>
      <c r="H183" s="14" t="n">
        <f aca="false">INDEX(Billing_Export!$D$2:$D$221,MATCH(A183,Billing_Export!$A$2:$A$221,0))</f>
        <v>225.34</v>
      </c>
      <c r="I183" s="7" t="str">
        <f aca="false">INDEX(Billing_Export!$E$2:$E$221,MATCH(A183,Billing_Export!$A$2:$A$221,0))</f>
        <v>Paid</v>
      </c>
      <c r="J183" s="7" t="str">
        <f aca="false">INDEX(Billing_Export!$F$2:$F$221,MATCH(A183,Billing_Export!$A$2:$A$221,0))</f>
        <v>None</v>
      </c>
    </row>
    <row r="184" customFormat="false" ht="15" hidden="false" customHeight="false" outlineLevel="0" collapsed="false">
      <c r="A184" s="12" t="n">
        <f aca="false">EHR_Export!A181</f>
        <v>100180</v>
      </c>
      <c r="B184" s="12" t="str">
        <f aca="false">EHR_Export!B181</f>
        <v>Dr. C. Okafor</v>
      </c>
      <c r="C184" s="12" t="str">
        <f aca="false">EHR_Export!C181</f>
        <v>Cardiology</v>
      </c>
      <c r="D184" s="12" t="str">
        <f aca="false">EHR_Export!D181</f>
        <v>2025-09-22</v>
      </c>
      <c r="E184" s="12" t="str">
        <f aca="false">EHR_Export!E181</f>
        <v>99213</v>
      </c>
      <c r="F184" s="7" t="str">
        <f aca="false">INDEX(Billing_Export!$B$2:$B$221,MATCH(A184,Billing_Export!$A$2:$A$221,0))</f>
        <v>Kaiser HMO</v>
      </c>
      <c r="G184" s="14" t="n">
        <f aca="false">INDEX(Billing_Export!$C$2:$C$221,MATCH(A184,Billing_Export!$A$2:$A$221,0))</f>
        <v>140.98</v>
      </c>
      <c r="H184" s="14" t="n">
        <f aca="false">INDEX(Billing_Export!$D$2:$D$221,MATCH(A184,Billing_Export!$A$2:$A$221,0))</f>
        <v>95.66</v>
      </c>
      <c r="I184" s="7" t="str">
        <f aca="false">INDEX(Billing_Export!$E$2:$E$221,MATCH(A184,Billing_Export!$A$2:$A$221,0))</f>
        <v>Paid</v>
      </c>
      <c r="J184" s="7" t="str">
        <f aca="false">INDEX(Billing_Export!$F$2:$F$221,MATCH(A184,Billing_Export!$A$2:$A$221,0))</f>
        <v>None</v>
      </c>
    </row>
    <row r="185" customFormat="false" ht="15" hidden="false" customHeight="false" outlineLevel="0" collapsed="false">
      <c r="A185" s="12" t="n">
        <f aca="false">EHR_Export!A182</f>
        <v>100181</v>
      </c>
      <c r="B185" s="12" t="str">
        <f aca="false">EHR_Export!B182</f>
        <v>Dr. B. Chen</v>
      </c>
      <c r="C185" s="12" t="str">
        <f aca="false">EHR_Export!C182</f>
        <v>Nephrology</v>
      </c>
      <c r="D185" s="12" t="str">
        <f aca="false">EHR_Export!D182</f>
        <v>2025-08-12</v>
      </c>
      <c r="E185" s="12" t="str">
        <f aca="false">EHR_Export!E182</f>
        <v>99214</v>
      </c>
      <c r="F185" s="7" t="str">
        <f aca="false">INDEX(Billing_Export!$B$2:$B$221,MATCH(A185,Billing_Export!$A$2:$A$221,0))</f>
        <v>Kaiser HMO</v>
      </c>
      <c r="G185" s="14" t="n">
        <f aca="false">INDEX(Billing_Export!$C$2:$C$221,MATCH(A185,Billing_Export!$A$2:$A$221,0))</f>
        <v>204.6</v>
      </c>
      <c r="H185" s="14" t="n">
        <f aca="false">INDEX(Billing_Export!$D$2:$D$221,MATCH(A185,Billing_Export!$A$2:$A$221,0))</f>
        <v>146.88</v>
      </c>
      <c r="I185" s="7" t="str">
        <f aca="false">INDEX(Billing_Export!$E$2:$E$221,MATCH(A185,Billing_Export!$A$2:$A$221,0))</f>
        <v>Paid</v>
      </c>
      <c r="J185" s="7" t="str">
        <f aca="false">INDEX(Billing_Export!$F$2:$F$221,MATCH(A185,Billing_Export!$A$2:$A$221,0))</f>
        <v>None</v>
      </c>
    </row>
    <row r="186" customFormat="false" ht="15" hidden="false" customHeight="false" outlineLevel="0" collapsed="false">
      <c r="A186" s="12" t="n">
        <f aca="false">EHR_Export!A183</f>
        <v>100182</v>
      </c>
      <c r="B186" s="12" t="str">
        <f aca="false">EHR_Export!B183</f>
        <v>Dr. B. Chen</v>
      </c>
      <c r="C186" s="12" t="str">
        <f aca="false">EHR_Export!C183</f>
        <v>Nephrology</v>
      </c>
      <c r="D186" s="12" t="str">
        <f aca="false">EHR_Export!D183</f>
        <v>2025-01-28</v>
      </c>
      <c r="E186" s="12" t="str">
        <f aca="false">EHR_Export!E183</f>
        <v>80053</v>
      </c>
      <c r="F186" s="7" t="str">
        <f aca="false">INDEX(Billing_Export!$B$2:$B$221,MATCH(A186,Billing_Export!$A$2:$A$221,0))</f>
        <v>Medicaid</v>
      </c>
      <c r="G186" s="14" t="n">
        <f aca="false">INDEX(Billing_Export!$C$2:$C$221,MATCH(A186,Billing_Export!$A$2:$A$221,0))</f>
        <v>21.67</v>
      </c>
      <c r="H186" s="14" t="n">
        <f aca="false">INDEX(Billing_Export!$D$2:$D$221,MATCH(A186,Billing_Export!$A$2:$A$221,0))</f>
        <v>0</v>
      </c>
      <c r="I186" s="7" t="str">
        <f aca="false">INDEX(Billing_Export!$E$2:$E$221,MATCH(A186,Billing_Export!$A$2:$A$221,0))</f>
        <v>Denied</v>
      </c>
      <c r="J186" s="7" t="str">
        <f aca="false">INDEX(Billing_Export!$F$2:$F$221,MATCH(A186,Billing_Export!$A$2:$A$221,0))</f>
        <v>Eligibility Not Verified</v>
      </c>
    </row>
    <row r="187" customFormat="false" ht="15" hidden="false" customHeight="false" outlineLevel="0" collapsed="false">
      <c r="A187" s="12" t="n">
        <f aca="false">EHR_Export!A184</f>
        <v>100183</v>
      </c>
      <c r="B187" s="12" t="str">
        <f aca="false">EHR_Export!B184</f>
        <v>Dr. G. Kim</v>
      </c>
      <c r="C187" s="12" t="str">
        <f aca="false">EHR_Export!C184</f>
        <v>Endocrinology</v>
      </c>
      <c r="D187" s="12" t="str">
        <f aca="false">EHR_Export!D184</f>
        <v>2025-07-11</v>
      </c>
      <c r="E187" s="12" t="str">
        <f aca="false">EHR_Export!E184</f>
        <v>90935</v>
      </c>
      <c r="F187" s="7" t="str">
        <f aca="false">INDEX(Billing_Export!$B$2:$B$221,MATCH(A187,Billing_Export!$A$2:$A$221,0))</f>
        <v>Commercial - Aetna</v>
      </c>
      <c r="G187" s="14" t="n">
        <f aca="false">INDEX(Billing_Export!$C$2:$C$221,MATCH(A187,Billing_Export!$A$2:$A$221,0))</f>
        <v>234.89</v>
      </c>
      <c r="H187" s="14" t="n">
        <f aca="false">INDEX(Billing_Export!$D$2:$D$221,MATCH(A187,Billing_Export!$A$2:$A$221,0))</f>
        <v>0</v>
      </c>
      <c r="I187" s="7" t="str">
        <f aca="false">INDEX(Billing_Export!$E$2:$E$221,MATCH(A187,Billing_Export!$A$2:$A$221,0))</f>
        <v>Pending</v>
      </c>
      <c r="J187" s="7" t="str">
        <f aca="false">INDEX(Billing_Export!$F$2:$F$221,MATCH(A187,Billing_Export!$A$2:$A$221,0))</f>
        <v>None</v>
      </c>
    </row>
    <row r="188" customFormat="false" ht="15" hidden="false" customHeight="false" outlineLevel="0" collapsed="false">
      <c r="A188" s="12" t="n">
        <f aca="false">EHR_Export!A185</f>
        <v>100184</v>
      </c>
      <c r="B188" s="12" t="str">
        <f aca="false">EHR_Export!B185</f>
        <v>Dr. D. Nguyen</v>
      </c>
      <c r="C188" s="12" t="str">
        <f aca="false">EHR_Export!C185</f>
        <v>Cardiology</v>
      </c>
      <c r="D188" s="12" t="str">
        <f aca="false">EHR_Export!D185</f>
        <v>2025-03-12</v>
      </c>
      <c r="E188" s="12" t="str">
        <f aca="false">EHR_Export!E185</f>
        <v>90935</v>
      </c>
      <c r="F188" s="7" t="str">
        <f aca="false">INDEX(Billing_Export!$B$2:$B$221,MATCH(A188,Billing_Export!$A$2:$A$221,0))</f>
        <v>Medicare</v>
      </c>
      <c r="G188" s="14" t="n">
        <f aca="false">INDEX(Billing_Export!$C$2:$C$221,MATCH(A188,Billing_Export!$A$2:$A$221,0))</f>
        <v>227.49</v>
      </c>
      <c r="H188" s="14" t="n">
        <f aca="false">INDEX(Billing_Export!$D$2:$D$221,MATCH(A188,Billing_Export!$A$2:$A$221,0))</f>
        <v>147.54</v>
      </c>
      <c r="I188" s="7" t="str">
        <f aca="false">INDEX(Billing_Export!$E$2:$E$221,MATCH(A188,Billing_Export!$A$2:$A$221,0))</f>
        <v>Paid</v>
      </c>
      <c r="J188" s="7" t="str">
        <f aca="false">INDEX(Billing_Export!$F$2:$F$221,MATCH(A188,Billing_Export!$A$2:$A$221,0))</f>
        <v>None</v>
      </c>
    </row>
    <row r="189" customFormat="false" ht="15" hidden="false" customHeight="false" outlineLevel="0" collapsed="false">
      <c r="A189" s="12" t="n">
        <f aca="false">EHR_Export!A186</f>
        <v>100185</v>
      </c>
      <c r="B189" s="12" t="str">
        <f aca="false">EHR_Export!B186</f>
        <v>Dr. A. Reyes</v>
      </c>
      <c r="C189" s="12" t="str">
        <f aca="false">EHR_Export!C186</f>
        <v>Nephrology</v>
      </c>
      <c r="D189" s="12" t="str">
        <f aca="false">EHR_Export!D186</f>
        <v>2025-01-03</v>
      </c>
      <c r="E189" s="12" t="str">
        <f aca="false">EHR_Export!E186</f>
        <v>80053</v>
      </c>
      <c r="F189" s="7" t="str">
        <f aca="false">INDEX(Billing_Export!$B$2:$B$221,MATCH(A189,Billing_Export!$A$2:$A$221,0))</f>
        <v>Kaiser HMO</v>
      </c>
      <c r="G189" s="14" t="n">
        <f aca="false">INDEX(Billing_Export!$C$2:$C$221,MATCH(A189,Billing_Export!$A$2:$A$221,0))</f>
        <v>32.19</v>
      </c>
      <c r="H189" s="14" t="n">
        <f aca="false">INDEX(Billing_Export!$D$2:$D$221,MATCH(A189,Billing_Export!$A$2:$A$221,0))</f>
        <v>17.37</v>
      </c>
      <c r="I189" s="7" t="str">
        <f aca="false">INDEX(Billing_Export!$E$2:$E$221,MATCH(A189,Billing_Export!$A$2:$A$221,0))</f>
        <v>Paid</v>
      </c>
      <c r="J189" s="7" t="str">
        <f aca="false">INDEX(Billing_Export!$F$2:$F$221,MATCH(A189,Billing_Export!$A$2:$A$221,0))</f>
        <v>None</v>
      </c>
    </row>
    <row r="190" customFormat="false" ht="15" hidden="false" customHeight="false" outlineLevel="0" collapsed="false">
      <c r="A190" s="12" t="n">
        <f aca="false">EHR_Export!A187</f>
        <v>100186</v>
      </c>
      <c r="B190" s="12" t="str">
        <f aca="false">EHR_Export!B187</f>
        <v>Dr. B. Chen</v>
      </c>
      <c r="C190" s="12" t="str">
        <f aca="false">EHR_Export!C187</f>
        <v>Nephrology</v>
      </c>
      <c r="D190" s="12" t="str">
        <f aca="false">EHR_Export!D187</f>
        <v>2025-08-05</v>
      </c>
      <c r="E190" s="12" t="str">
        <f aca="false">EHR_Export!E187</f>
        <v>99204</v>
      </c>
      <c r="F190" s="7" t="str">
        <f aca="false">INDEX(Billing_Export!$B$2:$B$221,MATCH(A190,Billing_Export!$A$2:$A$221,0))</f>
        <v>Medicare</v>
      </c>
      <c r="G190" s="14" t="n">
        <f aca="false">INDEX(Billing_Export!$C$2:$C$221,MATCH(A190,Billing_Export!$A$2:$A$221,0))</f>
        <v>221.97</v>
      </c>
      <c r="H190" s="14" t="n">
        <f aca="false">INDEX(Billing_Export!$D$2:$D$221,MATCH(A190,Billing_Export!$A$2:$A$221,0))</f>
        <v>203.16</v>
      </c>
      <c r="I190" s="7" t="str">
        <f aca="false">INDEX(Billing_Export!$E$2:$E$221,MATCH(A190,Billing_Export!$A$2:$A$221,0))</f>
        <v>Paid</v>
      </c>
      <c r="J190" s="7" t="str">
        <f aca="false">INDEX(Billing_Export!$F$2:$F$221,MATCH(A190,Billing_Export!$A$2:$A$221,0))</f>
        <v>None</v>
      </c>
    </row>
    <row r="191" customFormat="false" ht="15" hidden="false" customHeight="false" outlineLevel="0" collapsed="false">
      <c r="A191" s="12" t="n">
        <f aca="false">EHR_Export!A188</f>
        <v>100187</v>
      </c>
      <c r="B191" s="12" t="str">
        <f aca="false">EHR_Export!B188</f>
        <v>Dr. B. Chen</v>
      </c>
      <c r="C191" s="12" t="str">
        <f aca="false">EHR_Export!C188</f>
        <v>Nephrology</v>
      </c>
      <c r="D191" s="12" t="str">
        <f aca="false">EHR_Export!D188</f>
        <v>2025-08-23</v>
      </c>
      <c r="E191" s="12" t="str">
        <f aca="false">EHR_Export!E188</f>
        <v>99203</v>
      </c>
      <c r="F191" s="7" t="str">
        <f aca="false">INDEX(Billing_Export!$B$2:$B$221,MATCH(A191,Billing_Export!$A$2:$A$221,0))</f>
        <v>Kaiser HMO</v>
      </c>
      <c r="G191" s="14" t="n">
        <f aca="false">INDEX(Billing_Export!$C$2:$C$221,MATCH(A191,Billing_Export!$A$2:$A$221,0))</f>
        <v>154.26</v>
      </c>
      <c r="H191" s="14" t="n">
        <f aca="false">INDEX(Billing_Export!$D$2:$D$221,MATCH(A191,Billing_Export!$A$2:$A$221,0))</f>
        <v>122.12</v>
      </c>
      <c r="I191" s="7" t="str">
        <f aca="false">INDEX(Billing_Export!$E$2:$E$221,MATCH(A191,Billing_Export!$A$2:$A$221,0))</f>
        <v>Paid</v>
      </c>
      <c r="J191" s="7" t="str">
        <f aca="false">INDEX(Billing_Export!$F$2:$F$221,MATCH(A191,Billing_Export!$A$2:$A$221,0))</f>
        <v>None</v>
      </c>
    </row>
    <row r="192" customFormat="false" ht="15" hidden="false" customHeight="false" outlineLevel="0" collapsed="false">
      <c r="A192" s="12" t="n">
        <f aca="false">EHR_Export!A189</f>
        <v>100188</v>
      </c>
      <c r="B192" s="12" t="str">
        <f aca="false">EHR_Export!B189</f>
        <v>Dr. B. Chen</v>
      </c>
      <c r="C192" s="12" t="str">
        <f aca="false">EHR_Export!C189</f>
        <v>Nephrology</v>
      </c>
      <c r="D192" s="12" t="str">
        <f aca="false">EHR_Export!D189</f>
        <v>2025-03-15</v>
      </c>
      <c r="E192" s="12" t="str">
        <f aca="false">EHR_Export!E189</f>
        <v>80053</v>
      </c>
      <c r="F192" s="7" t="str">
        <f aca="false">INDEX(Billing_Export!$B$2:$B$221,MATCH(A192,Billing_Export!$A$2:$A$221,0))</f>
        <v>Medicare</v>
      </c>
      <c r="G192" s="14" t="n">
        <f aca="false">INDEX(Billing_Export!$C$2:$C$221,MATCH(A192,Billing_Export!$A$2:$A$221,0))</f>
        <v>29.79</v>
      </c>
      <c r="H192" s="14" t="n">
        <f aca="false">INDEX(Billing_Export!$D$2:$D$221,MATCH(A192,Billing_Export!$A$2:$A$221,0))</f>
        <v>20.67</v>
      </c>
      <c r="I192" s="7" t="str">
        <f aca="false">INDEX(Billing_Export!$E$2:$E$221,MATCH(A192,Billing_Export!$A$2:$A$221,0))</f>
        <v>Paid</v>
      </c>
      <c r="J192" s="7" t="str">
        <f aca="false">INDEX(Billing_Export!$F$2:$F$221,MATCH(A192,Billing_Export!$A$2:$A$221,0))</f>
        <v>None</v>
      </c>
    </row>
    <row r="193" customFormat="false" ht="15" hidden="false" customHeight="false" outlineLevel="0" collapsed="false">
      <c r="A193" s="12" t="n">
        <f aca="false">EHR_Export!A190</f>
        <v>100189</v>
      </c>
      <c r="B193" s="12" t="str">
        <f aca="false">EHR_Export!B190</f>
        <v>Dr. E. Patel</v>
      </c>
      <c r="C193" s="12" t="str">
        <f aca="false">EHR_Export!C190</f>
        <v>Internal Medicine</v>
      </c>
      <c r="D193" s="12" t="str">
        <f aca="false">EHR_Export!D190</f>
        <v>2025-02-13</v>
      </c>
      <c r="E193" s="12" t="str">
        <f aca="false">EHR_Export!E190</f>
        <v>99213</v>
      </c>
      <c r="F193" s="7" t="str">
        <f aca="false">INDEX(Billing_Export!$B$2:$B$221,MATCH(A193,Billing_Export!$A$2:$A$221,0))</f>
        <v>Commercial - Blue Shield</v>
      </c>
      <c r="G193" s="14" t="n">
        <f aca="false">INDEX(Billing_Export!$C$2:$C$221,MATCH(A193,Billing_Export!$A$2:$A$221,0))</f>
        <v>168.35</v>
      </c>
      <c r="H193" s="14" t="n">
        <f aca="false">INDEX(Billing_Export!$D$2:$D$221,MATCH(A193,Billing_Export!$A$2:$A$221,0))</f>
        <v>119.16</v>
      </c>
      <c r="I193" s="7" t="str">
        <f aca="false">INDEX(Billing_Export!$E$2:$E$221,MATCH(A193,Billing_Export!$A$2:$A$221,0))</f>
        <v>Paid</v>
      </c>
      <c r="J193" s="7" t="str">
        <f aca="false">INDEX(Billing_Export!$F$2:$F$221,MATCH(A193,Billing_Export!$A$2:$A$221,0))</f>
        <v>None</v>
      </c>
    </row>
    <row r="194" customFormat="false" ht="15" hidden="false" customHeight="false" outlineLevel="0" collapsed="false">
      <c r="A194" s="12" t="n">
        <f aca="false">EHR_Export!A191</f>
        <v>100190</v>
      </c>
      <c r="B194" s="12" t="str">
        <f aca="false">EHR_Export!B191</f>
        <v>Dr. F. Martinez</v>
      </c>
      <c r="C194" s="12" t="str">
        <f aca="false">EHR_Export!C191</f>
        <v>Internal Medicine</v>
      </c>
      <c r="D194" s="12" t="str">
        <f aca="false">EHR_Export!D191</f>
        <v>2025-08-29</v>
      </c>
      <c r="E194" s="12" t="str">
        <f aca="false">EHR_Export!E191</f>
        <v>93000</v>
      </c>
      <c r="F194" s="7" t="str">
        <f aca="false">INDEX(Billing_Export!$B$2:$B$221,MATCH(A194,Billing_Export!$A$2:$A$221,0))</f>
        <v>Medicare</v>
      </c>
      <c r="G194" s="14" t="n">
        <f aca="false">INDEX(Billing_Export!$C$2:$C$221,MATCH(A194,Billing_Export!$A$2:$A$221,0))</f>
        <v>47.42</v>
      </c>
      <c r="H194" s="14" t="n">
        <f aca="false">INDEX(Billing_Export!$D$2:$D$221,MATCH(A194,Billing_Export!$A$2:$A$221,0))</f>
        <v>33.02</v>
      </c>
      <c r="I194" s="7" t="str">
        <f aca="false">INDEX(Billing_Export!$E$2:$E$221,MATCH(A194,Billing_Export!$A$2:$A$221,0))</f>
        <v>Paid</v>
      </c>
      <c r="J194" s="7" t="str">
        <f aca="false">INDEX(Billing_Export!$F$2:$F$221,MATCH(A194,Billing_Export!$A$2:$A$221,0))</f>
        <v>None</v>
      </c>
    </row>
    <row r="195" customFormat="false" ht="15" hidden="false" customHeight="false" outlineLevel="0" collapsed="false">
      <c r="A195" s="12" t="n">
        <f aca="false">EHR_Export!A192</f>
        <v>100191</v>
      </c>
      <c r="B195" s="12" t="str">
        <f aca="false">EHR_Export!B192</f>
        <v>Dr. A. Reyes</v>
      </c>
      <c r="C195" s="12" t="str">
        <f aca="false">EHR_Export!C192</f>
        <v>Nephrology</v>
      </c>
      <c r="D195" s="12" t="str">
        <f aca="false">EHR_Export!D192</f>
        <v>2025-02-23</v>
      </c>
      <c r="E195" s="12" t="str">
        <f aca="false">EHR_Export!E192</f>
        <v>90935</v>
      </c>
      <c r="F195" s="7" t="str">
        <f aca="false">INDEX(Billing_Export!$B$2:$B$221,MATCH(A195,Billing_Export!$A$2:$A$221,0))</f>
        <v>Commercial - Blue Shield</v>
      </c>
      <c r="G195" s="14" t="n">
        <f aca="false">INDEX(Billing_Export!$C$2:$C$221,MATCH(A195,Billing_Export!$A$2:$A$221,0))</f>
        <v>236.39</v>
      </c>
      <c r="H195" s="14" t="n">
        <f aca="false">INDEX(Billing_Export!$D$2:$D$221,MATCH(A195,Billing_Export!$A$2:$A$221,0))</f>
        <v>143.8</v>
      </c>
      <c r="I195" s="7" t="str">
        <f aca="false">INDEX(Billing_Export!$E$2:$E$221,MATCH(A195,Billing_Export!$A$2:$A$221,0))</f>
        <v>Paid</v>
      </c>
      <c r="J195" s="7" t="str">
        <f aca="false">INDEX(Billing_Export!$F$2:$F$221,MATCH(A195,Billing_Export!$A$2:$A$221,0))</f>
        <v>None</v>
      </c>
    </row>
    <row r="196" customFormat="false" ht="15" hidden="false" customHeight="false" outlineLevel="0" collapsed="false">
      <c r="A196" s="12" t="n">
        <f aca="false">EHR_Export!A193</f>
        <v>100192</v>
      </c>
      <c r="B196" s="12" t="str">
        <f aca="false">EHR_Export!B193</f>
        <v>Dr. F. Martinez</v>
      </c>
      <c r="C196" s="12" t="str">
        <f aca="false">EHR_Export!C193</f>
        <v>Internal Medicine</v>
      </c>
      <c r="D196" s="12" t="str">
        <f aca="false">EHR_Export!D193</f>
        <v>2025-08-26</v>
      </c>
      <c r="E196" s="12" t="str">
        <f aca="false">EHR_Export!E193</f>
        <v>99213</v>
      </c>
      <c r="F196" s="7" t="str">
        <f aca="false">INDEX(Billing_Export!$B$2:$B$221,MATCH(A196,Billing_Export!$A$2:$A$221,0))</f>
        <v>Medicaid</v>
      </c>
      <c r="G196" s="14" t="n">
        <f aca="false">INDEX(Billing_Export!$C$2:$C$221,MATCH(A196,Billing_Export!$A$2:$A$221,0))</f>
        <v>79.82</v>
      </c>
      <c r="H196" s="14" t="n">
        <f aca="false">INDEX(Billing_Export!$D$2:$D$221,MATCH(A196,Billing_Export!$A$2:$A$221,0))</f>
        <v>62.21</v>
      </c>
      <c r="I196" s="7" t="str">
        <f aca="false">INDEX(Billing_Export!$E$2:$E$221,MATCH(A196,Billing_Export!$A$2:$A$221,0))</f>
        <v>Paid</v>
      </c>
      <c r="J196" s="7" t="str">
        <f aca="false">INDEX(Billing_Export!$F$2:$F$221,MATCH(A196,Billing_Export!$A$2:$A$221,0))</f>
        <v>None</v>
      </c>
    </row>
    <row r="197" customFormat="false" ht="15" hidden="false" customHeight="false" outlineLevel="0" collapsed="false">
      <c r="A197" s="12" t="n">
        <f aca="false">EHR_Export!A194</f>
        <v>100193</v>
      </c>
      <c r="B197" s="12" t="str">
        <f aca="false">EHR_Export!B194</f>
        <v>Dr. H. Thompson</v>
      </c>
      <c r="C197" s="12" t="str">
        <f aca="false">EHR_Export!C194</f>
        <v>Family Medicine</v>
      </c>
      <c r="D197" s="12" t="str">
        <f aca="false">EHR_Export!D194</f>
        <v>2025-01-23</v>
      </c>
      <c r="E197" s="12" t="str">
        <f aca="false">EHR_Export!E194</f>
        <v>99215</v>
      </c>
      <c r="F197" s="7" t="str">
        <f aca="false">INDEX(Billing_Export!$B$2:$B$221,MATCH(A197,Billing_Export!$A$2:$A$221,0))</f>
        <v>Medicaid</v>
      </c>
      <c r="G197" s="14" t="n">
        <f aca="false">INDEX(Billing_Export!$C$2:$C$221,MATCH(A197,Billing_Export!$A$2:$A$221,0))</f>
        <v>142.59</v>
      </c>
      <c r="H197" s="14" t="n">
        <f aca="false">INDEX(Billing_Export!$D$2:$D$221,MATCH(A197,Billing_Export!$A$2:$A$221,0))</f>
        <v>119.5</v>
      </c>
      <c r="I197" s="7" t="str">
        <f aca="false">INDEX(Billing_Export!$E$2:$E$221,MATCH(A197,Billing_Export!$A$2:$A$221,0))</f>
        <v>Paid</v>
      </c>
      <c r="J197" s="7" t="str">
        <f aca="false">INDEX(Billing_Export!$F$2:$F$221,MATCH(A197,Billing_Export!$A$2:$A$221,0))</f>
        <v>None</v>
      </c>
    </row>
    <row r="198" customFormat="false" ht="15" hidden="false" customHeight="false" outlineLevel="0" collapsed="false">
      <c r="A198" s="12" t="n">
        <f aca="false">EHR_Export!A195</f>
        <v>100194</v>
      </c>
      <c r="B198" s="12" t="str">
        <f aca="false">EHR_Export!B195</f>
        <v>Dr. D. Nguyen</v>
      </c>
      <c r="C198" s="12" t="str">
        <f aca="false">EHR_Export!C195</f>
        <v>Cardiology</v>
      </c>
      <c r="D198" s="12" t="str">
        <f aca="false">EHR_Export!D195</f>
        <v>2025-05-10</v>
      </c>
      <c r="E198" s="12" t="str">
        <f aca="false">EHR_Export!E195</f>
        <v>90935</v>
      </c>
      <c r="F198" s="7" t="str">
        <f aca="false">INDEX(Billing_Export!$B$2:$B$221,MATCH(A198,Billing_Export!$A$2:$A$221,0))</f>
        <v>Medicare</v>
      </c>
      <c r="G198" s="14" t="n">
        <f aca="false">INDEX(Billing_Export!$C$2:$C$221,MATCH(A198,Billing_Export!$A$2:$A$221,0))</f>
        <v>227.65</v>
      </c>
      <c r="H198" s="14" t="n">
        <f aca="false">INDEX(Billing_Export!$D$2:$D$221,MATCH(A198,Billing_Export!$A$2:$A$221,0))</f>
        <v>164.06</v>
      </c>
      <c r="I198" s="7" t="str">
        <f aca="false">INDEX(Billing_Export!$E$2:$E$221,MATCH(A198,Billing_Export!$A$2:$A$221,0))</f>
        <v>Paid</v>
      </c>
      <c r="J198" s="7" t="str">
        <f aca="false">INDEX(Billing_Export!$F$2:$F$221,MATCH(A198,Billing_Export!$A$2:$A$221,0))</f>
        <v>None</v>
      </c>
    </row>
    <row r="199" customFormat="false" ht="15" hidden="false" customHeight="false" outlineLevel="0" collapsed="false">
      <c r="A199" s="12" t="n">
        <f aca="false">EHR_Export!A196</f>
        <v>100195</v>
      </c>
      <c r="B199" s="12" t="str">
        <f aca="false">EHR_Export!B196</f>
        <v>Dr. A. Reyes</v>
      </c>
      <c r="C199" s="12" t="str">
        <f aca="false">EHR_Export!C196</f>
        <v>Nephrology</v>
      </c>
      <c r="D199" s="12" t="str">
        <f aca="false">EHR_Export!D196</f>
        <v>2025-03-05</v>
      </c>
      <c r="E199" s="12" t="str">
        <f aca="false">EHR_Export!E196</f>
        <v>99204</v>
      </c>
      <c r="F199" s="7" t="str">
        <f aca="false">INDEX(Billing_Export!$B$2:$B$221,MATCH(A199,Billing_Export!$A$2:$A$221,0))</f>
        <v>Medicaid</v>
      </c>
      <c r="G199" s="14" t="n">
        <f aca="false">INDEX(Billing_Export!$C$2:$C$221,MATCH(A199,Billing_Export!$A$2:$A$221,0))</f>
        <v>154.66</v>
      </c>
      <c r="H199" s="14" t="n">
        <f aca="false">INDEX(Billing_Export!$D$2:$D$221,MATCH(A199,Billing_Export!$A$2:$A$221,0))</f>
        <v>129.78</v>
      </c>
      <c r="I199" s="7" t="str">
        <f aca="false">INDEX(Billing_Export!$E$2:$E$221,MATCH(A199,Billing_Export!$A$2:$A$221,0))</f>
        <v>Paid</v>
      </c>
      <c r="J199" s="7" t="str">
        <f aca="false">INDEX(Billing_Export!$F$2:$F$221,MATCH(A199,Billing_Export!$A$2:$A$221,0))</f>
        <v>None</v>
      </c>
    </row>
    <row r="200" customFormat="false" ht="15" hidden="false" customHeight="false" outlineLevel="0" collapsed="false">
      <c r="A200" s="12" t="n">
        <f aca="false">EHR_Export!A197</f>
        <v>100196</v>
      </c>
      <c r="B200" s="12" t="str">
        <f aca="false">EHR_Export!B197</f>
        <v>Dr. F. Martinez</v>
      </c>
      <c r="C200" s="12" t="str">
        <f aca="false">EHR_Export!C197</f>
        <v>Internal Medicine</v>
      </c>
      <c r="D200" s="12" t="str">
        <f aca="false">EHR_Export!D197</f>
        <v>2025-09-12</v>
      </c>
      <c r="E200" s="12" t="str">
        <f aca="false">EHR_Export!E197</f>
        <v>36415</v>
      </c>
      <c r="F200" s="7" t="str">
        <f aca="false">INDEX(Billing_Export!$B$2:$B$221,MATCH(A200,Billing_Export!$A$2:$A$221,0))</f>
        <v>Commercial - Blue Shield</v>
      </c>
      <c r="G200" s="14" t="n">
        <f aca="false">INDEX(Billing_Export!$C$2:$C$221,MATCH(A200,Billing_Export!$A$2:$A$221,0))</f>
        <v>23.75</v>
      </c>
      <c r="H200" s="14" t="n">
        <f aca="false">INDEX(Billing_Export!$D$2:$D$221,MATCH(A200,Billing_Export!$A$2:$A$221,0))</f>
        <v>16.45</v>
      </c>
      <c r="I200" s="7" t="str">
        <f aca="false">INDEX(Billing_Export!$E$2:$E$221,MATCH(A200,Billing_Export!$A$2:$A$221,0))</f>
        <v>Paid</v>
      </c>
      <c r="J200" s="7" t="str">
        <f aca="false">INDEX(Billing_Export!$F$2:$F$221,MATCH(A200,Billing_Export!$A$2:$A$221,0))</f>
        <v>None</v>
      </c>
    </row>
    <row r="201" customFormat="false" ht="15" hidden="false" customHeight="false" outlineLevel="0" collapsed="false">
      <c r="A201" s="12" t="n">
        <f aca="false">EHR_Export!A198</f>
        <v>100197</v>
      </c>
      <c r="B201" s="12" t="str">
        <f aca="false">EHR_Export!B198</f>
        <v>Dr. H. Thompson</v>
      </c>
      <c r="C201" s="12" t="str">
        <f aca="false">EHR_Export!C198</f>
        <v>Family Medicine</v>
      </c>
      <c r="D201" s="12" t="str">
        <f aca="false">EHR_Export!D198</f>
        <v>2025-04-03</v>
      </c>
      <c r="E201" s="12" t="str">
        <f aca="false">EHR_Export!E198</f>
        <v>93000</v>
      </c>
      <c r="F201" s="7" t="str">
        <f aca="false">INDEX(Billing_Export!$B$2:$B$221,MATCH(A201,Billing_Export!$A$2:$A$221,0))</f>
        <v>Kaiser HMO</v>
      </c>
      <c r="G201" s="14" t="n">
        <f aca="false">INDEX(Billing_Export!$C$2:$C$221,MATCH(A201,Billing_Export!$A$2:$A$221,0))</f>
        <v>45.72</v>
      </c>
      <c r="H201" s="14" t="n">
        <f aca="false">INDEX(Billing_Export!$D$2:$D$221,MATCH(A201,Billing_Export!$A$2:$A$221,0))</f>
        <v>35.85</v>
      </c>
      <c r="I201" s="7" t="str">
        <f aca="false">INDEX(Billing_Export!$E$2:$E$221,MATCH(A201,Billing_Export!$A$2:$A$221,0))</f>
        <v>Paid</v>
      </c>
      <c r="J201" s="7" t="str">
        <f aca="false">INDEX(Billing_Export!$F$2:$F$221,MATCH(A201,Billing_Export!$A$2:$A$221,0))</f>
        <v>None</v>
      </c>
    </row>
    <row r="202" customFormat="false" ht="15" hidden="false" customHeight="false" outlineLevel="0" collapsed="false">
      <c r="A202" s="12" t="n">
        <f aca="false">EHR_Export!A199</f>
        <v>100198</v>
      </c>
      <c r="B202" s="12" t="str">
        <f aca="false">EHR_Export!B199</f>
        <v>Dr. E. Patel</v>
      </c>
      <c r="C202" s="12" t="str">
        <f aca="false">EHR_Export!C199</f>
        <v>Internal Medicine</v>
      </c>
      <c r="D202" s="12" t="str">
        <f aca="false">EHR_Export!D199</f>
        <v>2025-08-07</v>
      </c>
      <c r="E202" s="12" t="str">
        <f aca="false">EHR_Export!E199</f>
        <v>99214</v>
      </c>
      <c r="F202" s="7" t="str">
        <f aca="false">INDEX(Billing_Export!$B$2:$B$221,MATCH(A202,Billing_Export!$A$2:$A$221,0))</f>
        <v>Kaiser HMO</v>
      </c>
      <c r="G202" s="14" t="n">
        <f aca="false">INDEX(Billing_Export!$C$2:$C$221,MATCH(A202,Billing_Export!$A$2:$A$221,0))</f>
        <v>162.49</v>
      </c>
      <c r="H202" s="14" t="n">
        <f aca="false">INDEX(Billing_Export!$D$2:$D$221,MATCH(A202,Billing_Export!$A$2:$A$221,0))</f>
        <v>137.84</v>
      </c>
      <c r="I202" s="7" t="str">
        <f aca="false">INDEX(Billing_Export!$E$2:$E$221,MATCH(A202,Billing_Export!$A$2:$A$221,0))</f>
        <v>Paid</v>
      </c>
      <c r="J202" s="7" t="str">
        <f aca="false">INDEX(Billing_Export!$F$2:$F$221,MATCH(A202,Billing_Export!$A$2:$A$221,0))</f>
        <v>None</v>
      </c>
    </row>
    <row r="203" customFormat="false" ht="15" hidden="false" customHeight="false" outlineLevel="0" collapsed="false">
      <c r="A203" s="12" t="n">
        <f aca="false">EHR_Export!A200</f>
        <v>100199</v>
      </c>
      <c r="B203" s="12" t="str">
        <f aca="false">EHR_Export!B200</f>
        <v>Dr. C. Okafor</v>
      </c>
      <c r="C203" s="12" t="str">
        <f aca="false">EHR_Export!C200</f>
        <v>Cardiology</v>
      </c>
      <c r="D203" s="12" t="str">
        <f aca="false">EHR_Export!D200</f>
        <v>2025-08-11</v>
      </c>
      <c r="E203" s="12" t="str">
        <f aca="false">EHR_Export!E200</f>
        <v>90935</v>
      </c>
      <c r="F203" s="7" t="str">
        <f aca="false">INDEX(Billing_Export!$B$2:$B$221,MATCH(A203,Billing_Export!$A$2:$A$221,0))</f>
        <v>Commercial - Blue Shield</v>
      </c>
      <c r="G203" s="14" t="n">
        <f aca="false">INDEX(Billing_Export!$C$2:$C$221,MATCH(A203,Billing_Export!$A$2:$A$221,0))</f>
        <v>252.68</v>
      </c>
      <c r="H203" s="14" t="n">
        <f aca="false">INDEX(Billing_Export!$D$2:$D$221,MATCH(A203,Billing_Export!$A$2:$A$221,0))</f>
        <v>213.6</v>
      </c>
      <c r="I203" s="7" t="str">
        <f aca="false">INDEX(Billing_Export!$E$2:$E$221,MATCH(A203,Billing_Export!$A$2:$A$221,0))</f>
        <v>Paid</v>
      </c>
      <c r="J203" s="7" t="str">
        <f aca="false">INDEX(Billing_Export!$F$2:$F$221,MATCH(A203,Billing_Export!$A$2:$A$221,0))</f>
        <v>None</v>
      </c>
    </row>
    <row r="204" customFormat="false" ht="15" hidden="false" customHeight="false" outlineLevel="0" collapsed="false">
      <c r="A204" s="12" t="n">
        <f aca="false">EHR_Export!A201</f>
        <v>100200</v>
      </c>
      <c r="B204" s="12" t="str">
        <f aca="false">EHR_Export!B201</f>
        <v>Dr. E. Patel</v>
      </c>
      <c r="C204" s="12" t="str">
        <f aca="false">EHR_Export!C201</f>
        <v>Internal Medicine</v>
      </c>
      <c r="D204" s="12" t="str">
        <f aca="false">EHR_Export!D201</f>
        <v>2025-03-23</v>
      </c>
      <c r="E204" s="12" t="str">
        <f aca="false">EHR_Export!E201</f>
        <v>99214</v>
      </c>
      <c r="F204" s="7" t="str">
        <f aca="false">INDEX(Billing_Export!$B$2:$B$221,MATCH(A204,Billing_Export!$A$2:$A$221,0))</f>
        <v>Medicare</v>
      </c>
      <c r="G204" s="14" t="n">
        <f aca="false">INDEX(Billing_Export!$C$2:$C$221,MATCH(A204,Billing_Export!$A$2:$A$221,0))</f>
        <v>185.86</v>
      </c>
      <c r="H204" s="14" t="n">
        <f aca="false">INDEX(Billing_Export!$D$2:$D$221,MATCH(A204,Billing_Export!$A$2:$A$221,0))</f>
        <v>129.92</v>
      </c>
      <c r="I204" s="7" t="str">
        <f aca="false">INDEX(Billing_Export!$E$2:$E$221,MATCH(A204,Billing_Export!$A$2:$A$221,0))</f>
        <v>Paid</v>
      </c>
      <c r="J204" s="7" t="str">
        <f aca="false">INDEX(Billing_Export!$F$2:$F$221,MATCH(A204,Billing_Export!$A$2:$A$221,0))</f>
        <v>None</v>
      </c>
    </row>
    <row r="205" customFormat="false" ht="15" hidden="false" customHeight="false" outlineLevel="0" collapsed="false">
      <c r="A205" s="12" t="n">
        <f aca="false">EHR_Export!A202</f>
        <v>100201</v>
      </c>
      <c r="B205" s="12" t="str">
        <f aca="false">EHR_Export!B202</f>
        <v>Dr. A. Reyes</v>
      </c>
      <c r="C205" s="12" t="str">
        <f aca="false">EHR_Export!C202</f>
        <v>Nephrology</v>
      </c>
      <c r="D205" s="12" t="str">
        <f aca="false">EHR_Export!D202</f>
        <v>2025-07-07</v>
      </c>
      <c r="E205" s="12" t="str">
        <f aca="false">EHR_Export!E202</f>
        <v>71046</v>
      </c>
      <c r="F205" s="7" t="str">
        <f aca="false">INDEX(Billing_Export!$B$2:$B$221,MATCH(A205,Billing_Export!$A$2:$A$221,0))</f>
        <v>Medicaid</v>
      </c>
      <c r="G205" s="14" t="n">
        <f aca="false">INDEX(Billing_Export!$C$2:$C$221,MATCH(A205,Billing_Export!$A$2:$A$221,0))</f>
        <v>46.56</v>
      </c>
      <c r="H205" s="14" t="n">
        <f aca="false">INDEX(Billing_Export!$D$2:$D$221,MATCH(A205,Billing_Export!$A$2:$A$221,0))</f>
        <v>31.49</v>
      </c>
      <c r="I205" s="7" t="str">
        <f aca="false">INDEX(Billing_Export!$E$2:$E$221,MATCH(A205,Billing_Export!$A$2:$A$221,0))</f>
        <v>Paid</v>
      </c>
      <c r="J205" s="7" t="str">
        <f aca="false">INDEX(Billing_Export!$F$2:$F$221,MATCH(A205,Billing_Export!$A$2:$A$221,0))</f>
        <v>None</v>
      </c>
    </row>
    <row r="206" customFormat="false" ht="15" hidden="false" customHeight="false" outlineLevel="0" collapsed="false">
      <c r="A206" s="12" t="n">
        <f aca="false">EHR_Export!A203</f>
        <v>100202</v>
      </c>
      <c r="B206" s="12" t="str">
        <f aca="false">EHR_Export!B203</f>
        <v>Dr. F. Martinez</v>
      </c>
      <c r="C206" s="12" t="str">
        <f aca="false">EHR_Export!C203</f>
        <v>Internal Medicine</v>
      </c>
      <c r="D206" s="12" t="str">
        <f aca="false">EHR_Export!D203</f>
        <v>2025-08-16</v>
      </c>
      <c r="E206" s="12" t="str">
        <f aca="false">EHR_Export!E203</f>
        <v>71046</v>
      </c>
      <c r="F206" s="7" t="str">
        <f aca="false">INDEX(Billing_Export!$B$2:$B$221,MATCH(A206,Billing_Export!$A$2:$A$221,0))</f>
        <v>Commercial - Blue Shield</v>
      </c>
      <c r="G206" s="14" t="n">
        <f aca="false">INDEX(Billing_Export!$C$2:$C$221,MATCH(A206,Billing_Export!$A$2:$A$221,0))</f>
        <v>72.2</v>
      </c>
      <c r="H206" s="14" t="n">
        <f aca="false">INDEX(Billing_Export!$D$2:$D$221,MATCH(A206,Billing_Export!$A$2:$A$221,0))</f>
        <v>61.52</v>
      </c>
      <c r="I206" s="7" t="str">
        <f aca="false">INDEX(Billing_Export!$E$2:$E$221,MATCH(A206,Billing_Export!$A$2:$A$221,0))</f>
        <v>Paid</v>
      </c>
      <c r="J206" s="7" t="str">
        <f aca="false">INDEX(Billing_Export!$F$2:$F$221,MATCH(A206,Billing_Export!$A$2:$A$221,0))</f>
        <v>None</v>
      </c>
    </row>
    <row r="207" customFormat="false" ht="15" hidden="false" customHeight="false" outlineLevel="0" collapsed="false">
      <c r="A207" s="12" t="n">
        <f aca="false">EHR_Export!A204</f>
        <v>100203</v>
      </c>
      <c r="B207" s="12" t="str">
        <f aca="false">EHR_Export!B204</f>
        <v>Dr. B. Chen</v>
      </c>
      <c r="C207" s="12" t="str">
        <f aca="false">EHR_Export!C204</f>
        <v>Nephrology</v>
      </c>
      <c r="D207" s="12" t="str">
        <f aca="false">EHR_Export!D204</f>
        <v>2025-02-28</v>
      </c>
      <c r="E207" s="12" t="str">
        <f aca="false">EHR_Export!E204</f>
        <v>99215</v>
      </c>
      <c r="F207" s="7" t="str">
        <f aca="false">INDEX(Billing_Export!$B$2:$B$221,MATCH(A207,Billing_Export!$A$2:$A$221,0))</f>
        <v>Commercial - Aetna</v>
      </c>
      <c r="G207" s="14" t="n">
        <f aca="false">INDEX(Billing_Export!$C$2:$C$221,MATCH(A207,Billing_Export!$A$2:$A$221,0))</f>
        <v>327.63</v>
      </c>
      <c r="H207" s="14" t="n">
        <f aca="false">INDEX(Billing_Export!$D$2:$D$221,MATCH(A207,Billing_Export!$A$2:$A$221,0))</f>
        <v>232.45</v>
      </c>
      <c r="I207" s="7" t="str">
        <f aca="false">INDEX(Billing_Export!$E$2:$E$221,MATCH(A207,Billing_Export!$A$2:$A$221,0))</f>
        <v>Paid</v>
      </c>
      <c r="J207" s="7" t="str">
        <f aca="false">INDEX(Billing_Export!$F$2:$F$221,MATCH(A207,Billing_Export!$A$2:$A$221,0))</f>
        <v>None</v>
      </c>
    </row>
    <row r="208" customFormat="false" ht="15" hidden="false" customHeight="false" outlineLevel="0" collapsed="false">
      <c r="A208" s="12" t="n">
        <f aca="false">EHR_Export!A205</f>
        <v>100204</v>
      </c>
      <c r="B208" s="12" t="str">
        <f aca="false">EHR_Export!B205</f>
        <v>Dr. A. Reyes</v>
      </c>
      <c r="C208" s="12" t="str">
        <f aca="false">EHR_Export!C205</f>
        <v>Nephrology</v>
      </c>
      <c r="D208" s="12" t="str">
        <f aca="false">EHR_Export!D205</f>
        <v>2025-08-17</v>
      </c>
      <c r="E208" s="12" t="str">
        <f aca="false">EHR_Export!E205</f>
        <v>80053</v>
      </c>
      <c r="F208" s="7" t="str">
        <f aca="false">INDEX(Billing_Export!$B$2:$B$221,MATCH(A208,Billing_Export!$A$2:$A$221,0))</f>
        <v>Medicaid</v>
      </c>
      <c r="G208" s="14" t="n">
        <f aca="false">INDEX(Billing_Export!$C$2:$C$221,MATCH(A208,Billing_Export!$A$2:$A$221,0))</f>
        <v>19.36</v>
      </c>
      <c r="H208" s="14" t="n">
        <f aca="false">INDEX(Billing_Export!$D$2:$D$221,MATCH(A208,Billing_Export!$A$2:$A$221,0))</f>
        <v>14.23</v>
      </c>
      <c r="I208" s="7" t="str">
        <f aca="false">INDEX(Billing_Export!$E$2:$E$221,MATCH(A208,Billing_Export!$A$2:$A$221,0))</f>
        <v>Paid</v>
      </c>
      <c r="J208" s="7" t="str">
        <f aca="false">INDEX(Billing_Export!$F$2:$F$221,MATCH(A208,Billing_Export!$A$2:$A$221,0))</f>
        <v>None</v>
      </c>
    </row>
    <row r="209" customFormat="false" ht="15" hidden="false" customHeight="false" outlineLevel="0" collapsed="false">
      <c r="A209" s="12" t="n">
        <f aca="false">EHR_Export!A206</f>
        <v>100205</v>
      </c>
      <c r="B209" s="12" t="str">
        <f aca="false">EHR_Export!B206</f>
        <v>Dr. D. Nguyen</v>
      </c>
      <c r="C209" s="12" t="str">
        <f aca="false">EHR_Export!C206</f>
        <v>Cardiology</v>
      </c>
      <c r="D209" s="12" t="str">
        <f aca="false">EHR_Export!D206</f>
        <v>2025-04-13</v>
      </c>
      <c r="E209" s="12" t="str">
        <f aca="false">EHR_Export!E206</f>
        <v>99204</v>
      </c>
      <c r="F209" s="7" t="str">
        <f aca="false">INDEX(Billing_Export!$B$2:$B$221,MATCH(A209,Billing_Export!$A$2:$A$221,0))</f>
        <v>Commercial - Aetna</v>
      </c>
      <c r="G209" s="14" t="n">
        <f aca="false">INDEX(Billing_Export!$C$2:$C$221,MATCH(A209,Billing_Export!$A$2:$A$221,0))</f>
        <v>336.33</v>
      </c>
      <c r="H209" s="14" t="n">
        <f aca="false">INDEX(Billing_Export!$D$2:$D$221,MATCH(A209,Billing_Export!$A$2:$A$221,0))</f>
        <v>0</v>
      </c>
      <c r="I209" s="7" t="str">
        <f aca="false">INDEX(Billing_Export!$E$2:$E$221,MATCH(A209,Billing_Export!$A$2:$A$221,0))</f>
        <v>Pending</v>
      </c>
      <c r="J209" s="7" t="str">
        <f aca="false">INDEX(Billing_Export!$F$2:$F$221,MATCH(A209,Billing_Export!$A$2:$A$221,0))</f>
        <v>None</v>
      </c>
    </row>
    <row r="210" customFormat="false" ht="15" hidden="false" customHeight="false" outlineLevel="0" collapsed="false">
      <c r="A210" s="12" t="n">
        <f aca="false">EHR_Export!A207</f>
        <v>100206</v>
      </c>
      <c r="B210" s="12" t="str">
        <f aca="false">EHR_Export!B207</f>
        <v>Dr. B. Chen</v>
      </c>
      <c r="C210" s="12" t="str">
        <f aca="false">EHR_Export!C207</f>
        <v>Nephrology</v>
      </c>
      <c r="D210" s="12" t="str">
        <f aca="false">EHR_Export!D207</f>
        <v>2025-06-13</v>
      </c>
      <c r="E210" s="12" t="str">
        <f aca="false">EHR_Export!E207</f>
        <v>99214</v>
      </c>
      <c r="F210" s="7" t="str">
        <f aca="false">INDEX(Billing_Export!$B$2:$B$221,MATCH(A210,Billing_Export!$A$2:$A$221,0))</f>
        <v>Medicaid</v>
      </c>
      <c r="G210" s="14" t="n">
        <f aca="false">INDEX(Billing_Export!$C$2:$C$221,MATCH(A210,Billing_Export!$A$2:$A$221,0))</f>
        <v>113.69</v>
      </c>
      <c r="H210" s="14" t="n">
        <f aca="false">INDEX(Billing_Export!$D$2:$D$221,MATCH(A210,Billing_Export!$A$2:$A$221,0))</f>
        <v>81.92</v>
      </c>
      <c r="I210" s="7" t="str">
        <f aca="false">INDEX(Billing_Export!$E$2:$E$221,MATCH(A210,Billing_Export!$A$2:$A$221,0))</f>
        <v>Paid</v>
      </c>
      <c r="J210" s="7" t="str">
        <f aca="false">INDEX(Billing_Export!$F$2:$F$221,MATCH(A210,Billing_Export!$A$2:$A$221,0))</f>
        <v>None</v>
      </c>
    </row>
    <row r="211" customFormat="false" ht="15" hidden="false" customHeight="false" outlineLevel="0" collapsed="false">
      <c r="A211" s="12" t="n">
        <f aca="false">EHR_Export!A208</f>
        <v>100207</v>
      </c>
      <c r="B211" s="12" t="str">
        <f aca="false">EHR_Export!B208</f>
        <v>Dr. F. Martinez</v>
      </c>
      <c r="C211" s="12" t="str">
        <f aca="false">EHR_Export!C208</f>
        <v>Internal Medicine</v>
      </c>
      <c r="D211" s="12" t="str">
        <f aca="false">EHR_Export!D208</f>
        <v>2025-03-31</v>
      </c>
      <c r="E211" s="12" t="str">
        <f aca="false">EHR_Export!E208</f>
        <v>93000</v>
      </c>
      <c r="F211" s="7" t="str">
        <f aca="false">INDEX(Billing_Export!$B$2:$B$221,MATCH(A211,Billing_Export!$A$2:$A$221,0))</f>
        <v>Medicare</v>
      </c>
      <c r="G211" s="14" t="n">
        <f aca="false">INDEX(Billing_Export!$C$2:$C$221,MATCH(A211,Billing_Export!$A$2:$A$221,0))</f>
        <v>47.4</v>
      </c>
      <c r="H211" s="14" t="n">
        <f aca="false">INDEX(Billing_Export!$D$2:$D$221,MATCH(A211,Billing_Export!$A$2:$A$221,0))</f>
        <v>39.33</v>
      </c>
      <c r="I211" s="7" t="str">
        <f aca="false">INDEX(Billing_Export!$E$2:$E$221,MATCH(A211,Billing_Export!$A$2:$A$221,0))</f>
        <v>Paid</v>
      </c>
      <c r="J211" s="7" t="str">
        <f aca="false">INDEX(Billing_Export!$F$2:$F$221,MATCH(A211,Billing_Export!$A$2:$A$221,0))</f>
        <v>None</v>
      </c>
    </row>
    <row r="212" customFormat="false" ht="15" hidden="false" customHeight="false" outlineLevel="0" collapsed="false">
      <c r="A212" s="12" t="n">
        <f aca="false">EHR_Export!A209</f>
        <v>100208</v>
      </c>
      <c r="B212" s="12" t="str">
        <f aca="false">EHR_Export!B209</f>
        <v>Dr. F. Martinez</v>
      </c>
      <c r="C212" s="12" t="str">
        <f aca="false">EHR_Export!C209</f>
        <v>Internal Medicine</v>
      </c>
      <c r="D212" s="12" t="str">
        <f aca="false">EHR_Export!D209</f>
        <v>2025-01-14</v>
      </c>
      <c r="E212" s="12" t="str">
        <f aca="false">EHR_Export!E209</f>
        <v>99203</v>
      </c>
      <c r="F212" s="7" t="str">
        <f aca="false">INDEX(Billing_Export!$B$2:$B$221,MATCH(A212,Billing_Export!$A$2:$A$221,0))</f>
        <v>Commercial - Aetna</v>
      </c>
      <c r="G212" s="14" t="n">
        <f aca="false">INDEX(Billing_Export!$C$2:$C$221,MATCH(A212,Billing_Export!$A$2:$A$221,0))</f>
        <v>174.67</v>
      </c>
      <c r="H212" s="14" t="n">
        <f aca="false">INDEX(Billing_Export!$D$2:$D$221,MATCH(A212,Billing_Export!$A$2:$A$221,0))</f>
        <v>147.53</v>
      </c>
      <c r="I212" s="7" t="str">
        <f aca="false">INDEX(Billing_Export!$E$2:$E$221,MATCH(A212,Billing_Export!$A$2:$A$221,0))</f>
        <v>Paid</v>
      </c>
      <c r="J212" s="7" t="str">
        <f aca="false">INDEX(Billing_Export!$F$2:$F$221,MATCH(A212,Billing_Export!$A$2:$A$221,0))</f>
        <v>None</v>
      </c>
    </row>
    <row r="213" customFormat="false" ht="15" hidden="false" customHeight="false" outlineLevel="0" collapsed="false">
      <c r="A213" s="12" t="n">
        <f aca="false">EHR_Export!A210</f>
        <v>100209</v>
      </c>
      <c r="B213" s="12" t="str">
        <f aca="false">EHR_Export!B210</f>
        <v>Dr. F. Martinez</v>
      </c>
      <c r="C213" s="12" t="str">
        <f aca="false">EHR_Export!C210</f>
        <v>Internal Medicine</v>
      </c>
      <c r="D213" s="12" t="str">
        <f aca="false">EHR_Export!D210</f>
        <v>2025-02-14</v>
      </c>
      <c r="E213" s="12" t="str">
        <f aca="false">EHR_Export!E210</f>
        <v>71046</v>
      </c>
      <c r="F213" s="7" t="str">
        <f aca="false">INDEX(Billing_Export!$B$2:$B$221,MATCH(A213,Billing_Export!$A$2:$A$221,0))</f>
        <v>Commercial - Aetna</v>
      </c>
      <c r="G213" s="14" t="n">
        <f aca="false">INDEX(Billing_Export!$C$2:$C$221,MATCH(A213,Billing_Export!$A$2:$A$221,0))</f>
        <v>81.59</v>
      </c>
      <c r="H213" s="14" t="n">
        <f aca="false">INDEX(Billing_Export!$D$2:$D$221,MATCH(A213,Billing_Export!$A$2:$A$221,0))</f>
        <v>62.42</v>
      </c>
      <c r="I213" s="7" t="str">
        <f aca="false">INDEX(Billing_Export!$E$2:$E$221,MATCH(A213,Billing_Export!$A$2:$A$221,0))</f>
        <v>Paid</v>
      </c>
      <c r="J213" s="7" t="str">
        <f aca="false">INDEX(Billing_Export!$F$2:$F$221,MATCH(A213,Billing_Export!$A$2:$A$221,0))</f>
        <v>None</v>
      </c>
    </row>
    <row r="214" customFormat="false" ht="15" hidden="false" customHeight="false" outlineLevel="0" collapsed="false">
      <c r="A214" s="12" t="n">
        <f aca="false">EHR_Export!A211</f>
        <v>100210</v>
      </c>
      <c r="B214" s="12" t="str">
        <f aca="false">EHR_Export!B211</f>
        <v>Dr. B. Chen</v>
      </c>
      <c r="C214" s="12" t="str">
        <f aca="false">EHR_Export!C211</f>
        <v>Nephrology</v>
      </c>
      <c r="D214" s="12" t="str">
        <f aca="false">EHR_Export!D211</f>
        <v>2025-02-07</v>
      </c>
      <c r="E214" s="12" t="str">
        <f aca="false">EHR_Export!E211</f>
        <v>36415</v>
      </c>
      <c r="F214" s="7" t="str">
        <f aca="false">INDEX(Billing_Export!$B$2:$B$221,MATCH(A214,Billing_Export!$A$2:$A$221,0))</f>
        <v>Kaiser HMO</v>
      </c>
      <c r="G214" s="14" t="n">
        <f aca="false">INDEX(Billing_Export!$C$2:$C$221,MATCH(A214,Billing_Export!$A$2:$A$221,0))</f>
        <v>20.8</v>
      </c>
      <c r="H214" s="14" t="n">
        <f aca="false">INDEX(Billing_Export!$D$2:$D$221,MATCH(A214,Billing_Export!$A$2:$A$221,0))</f>
        <v>13.21</v>
      </c>
      <c r="I214" s="7" t="str">
        <f aca="false">INDEX(Billing_Export!$E$2:$E$221,MATCH(A214,Billing_Export!$A$2:$A$221,0))</f>
        <v>Paid</v>
      </c>
      <c r="J214" s="7" t="str">
        <f aca="false">INDEX(Billing_Export!$F$2:$F$221,MATCH(A214,Billing_Export!$A$2:$A$221,0))</f>
        <v>None</v>
      </c>
    </row>
    <row r="215" customFormat="false" ht="15" hidden="false" customHeight="false" outlineLevel="0" collapsed="false">
      <c r="A215" s="12" t="n">
        <f aca="false">EHR_Export!A212</f>
        <v>100211</v>
      </c>
      <c r="B215" s="12" t="str">
        <f aca="false">EHR_Export!B212</f>
        <v>Dr. C. Okafor</v>
      </c>
      <c r="C215" s="12" t="str">
        <f aca="false">EHR_Export!C212</f>
        <v>Cardiology</v>
      </c>
      <c r="D215" s="12" t="str">
        <f aca="false">EHR_Export!D212</f>
        <v>2025-04-04</v>
      </c>
      <c r="E215" s="12" t="str">
        <f aca="false">EHR_Export!E212</f>
        <v>99214</v>
      </c>
      <c r="F215" s="7" t="str">
        <f aca="false">INDEX(Billing_Export!$B$2:$B$221,MATCH(A215,Billing_Export!$A$2:$A$221,0))</f>
        <v>Kaiser HMO</v>
      </c>
      <c r="G215" s="14" t="n">
        <f aca="false">INDEX(Billing_Export!$C$2:$C$221,MATCH(A215,Billing_Export!$A$2:$A$221,0))</f>
        <v>185.29</v>
      </c>
      <c r="H215" s="14" t="n">
        <f aca="false">INDEX(Billing_Export!$D$2:$D$221,MATCH(A215,Billing_Export!$A$2:$A$221,0))</f>
        <v>140.11</v>
      </c>
      <c r="I215" s="7" t="str">
        <f aca="false">INDEX(Billing_Export!$E$2:$E$221,MATCH(A215,Billing_Export!$A$2:$A$221,0))</f>
        <v>Paid</v>
      </c>
      <c r="J215" s="7" t="str">
        <f aca="false">INDEX(Billing_Export!$F$2:$F$221,MATCH(A215,Billing_Export!$A$2:$A$221,0))</f>
        <v>None</v>
      </c>
    </row>
    <row r="216" customFormat="false" ht="15" hidden="false" customHeight="false" outlineLevel="0" collapsed="false">
      <c r="A216" s="12" t="n">
        <f aca="false">EHR_Export!A213</f>
        <v>100212</v>
      </c>
      <c r="B216" s="12" t="str">
        <f aca="false">EHR_Export!B213</f>
        <v>Dr. C. Okafor</v>
      </c>
      <c r="C216" s="12" t="str">
        <f aca="false">EHR_Export!C213</f>
        <v>Cardiology</v>
      </c>
      <c r="D216" s="12" t="str">
        <f aca="false">EHR_Export!D213</f>
        <v>2025-03-26</v>
      </c>
      <c r="E216" s="12" t="str">
        <f aca="false">EHR_Export!E213</f>
        <v>93000</v>
      </c>
      <c r="F216" s="7" t="str">
        <f aca="false">INDEX(Billing_Export!$B$2:$B$221,MATCH(A216,Billing_Export!$A$2:$A$221,0))</f>
        <v>Commercial - Blue Shield</v>
      </c>
      <c r="G216" s="14" t="n">
        <f aca="false">INDEX(Billing_Export!$C$2:$C$221,MATCH(A216,Billing_Export!$A$2:$A$221,0))</f>
        <v>68.63</v>
      </c>
      <c r="H216" s="14" t="n">
        <f aca="false">INDEX(Billing_Export!$D$2:$D$221,MATCH(A216,Billing_Export!$A$2:$A$221,0))</f>
        <v>43.08</v>
      </c>
      <c r="I216" s="7" t="str">
        <f aca="false">INDEX(Billing_Export!$E$2:$E$221,MATCH(A216,Billing_Export!$A$2:$A$221,0))</f>
        <v>Paid</v>
      </c>
      <c r="J216" s="7" t="str">
        <f aca="false">INDEX(Billing_Export!$F$2:$F$221,MATCH(A216,Billing_Export!$A$2:$A$221,0))</f>
        <v>None</v>
      </c>
    </row>
    <row r="217" customFormat="false" ht="15" hidden="false" customHeight="false" outlineLevel="0" collapsed="false">
      <c r="A217" s="12" t="n">
        <f aca="false">EHR_Export!A214</f>
        <v>100213</v>
      </c>
      <c r="B217" s="12" t="str">
        <f aca="false">EHR_Export!B214</f>
        <v>Dr. C. Okafor</v>
      </c>
      <c r="C217" s="12" t="str">
        <f aca="false">EHR_Export!C214</f>
        <v>Cardiology</v>
      </c>
      <c r="D217" s="12" t="str">
        <f aca="false">EHR_Export!D214</f>
        <v>2025-02-10</v>
      </c>
      <c r="E217" s="12" t="str">
        <f aca="false">EHR_Export!E214</f>
        <v>99203</v>
      </c>
      <c r="F217" s="7" t="str">
        <f aca="false">INDEX(Billing_Export!$B$2:$B$221,MATCH(A217,Billing_Export!$A$2:$A$221,0))</f>
        <v>Kaiser HMO</v>
      </c>
      <c r="G217" s="14" t="n">
        <f aca="false">INDEX(Billing_Export!$C$2:$C$221,MATCH(A217,Billing_Export!$A$2:$A$221,0))</f>
        <v>156.69</v>
      </c>
      <c r="H217" s="14" t="n">
        <f aca="false">INDEX(Billing_Export!$D$2:$D$221,MATCH(A217,Billing_Export!$A$2:$A$221,0))</f>
        <v>0</v>
      </c>
      <c r="I217" s="7" t="str">
        <f aca="false">INDEX(Billing_Export!$E$2:$E$221,MATCH(A217,Billing_Export!$A$2:$A$221,0))</f>
        <v>Denied</v>
      </c>
      <c r="J217" s="7" t="str">
        <f aca="false">INDEX(Billing_Export!$F$2:$F$221,MATCH(A217,Billing_Export!$A$2:$A$221,0))</f>
        <v>Timely Filing Limit Exceeded</v>
      </c>
    </row>
    <row r="218" customFormat="false" ht="15" hidden="false" customHeight="false" outlineLevel="0" collapsed="false">
      <c r="A218" s="12" t="n">
        <f aca="false">EHR_Export!A215</f>
        <v>100214</v>
      </c>
      <c r="B218" s="12" t="str">
        <f aca="false">EHR_Export!B215</f>
        <v>Dr. E. Patel</v>
      </c>
      <c r="C218" s="12" t="str">
        <f aca="false">EHR_Export!C215</f>
        <v>Internal Medicine</v>
      </c>
      <c r="D218" s="12" t="str">
        <f aca="false">EHR_Export!D215</f>
        <v>2025-03-28</v>
      </c>
      <c r="E218" s="12" t="str">
        <f aca="false">EHR_Export!E215</f>
        <v>93000</v>
      </c>
      <c r="F218" s="7" t="str">
        <f aca="false">INDEX(Billing_Export!$B$2:$B$221,MATCH(A218,Billing_Export!$A$2:$A$221,0))</f>
        <v>Medicaid</v>
      </c>
      <c r="G218" s="14" t="n">
        <f aca="false">INDEX(Billing_Export!$C$2:$C$221,MATCH(A218,Billing_Export!$A$2:$A$221,0))</f>
        <v>28.02</v>
      </c>
      <c r="H218" s="14" t="n">
        <f aca="false">INDEX(Billing_Export!$D$2:$D$221,MATCH(A218,Billing_Export!$A$2:$A$221,0))</f>
        <v>21.46</v>
      </c>
      <c r="I218" s="7" t="str">
        <f aca="false">INDEX(Billing_Export!$E$2:$E$221,MATCH(A218,Billing_Export!$A$2:$A$221,0))</f>
        <v>Paid</v>
      </c>
      <c r="J218" s="7" t="str">
        <f aca="false">INDEX(Billing_Export!$F$2:$F$221,MATCH(A218,Billing_Export!$A$2:$A$221,0))</f>
        <v>None</v>
      </c>
    </row>
    <row r="219" customFormat="false" ht="15" hidden="false" customHeight="false" outlineLevel="0" collapsed="false">
      <c r="A219" s="12" t="n">
        <f aca="false">EHR_Export!A216</f>
        <v>100215</v>
      </c>
      <c r="B219" s="12" t="str">
        <f aca="false">EHR_Export!B216</f>
        <v>Dr. C. Okafor</v>
      </c>
      <c r="C219" s="12" t="str">
        <f aca="false">EHR_Export!C216</f>
        <v>Cardiology</v>
      </c>
      <c r="D219" s="12" t="str">
        <f aca="false">EHR_Export!D216</f>
        <v>2025-01-15</v>
      </c>
      <c r="E219" s="12" t="str">
        <f aca="false">EHR_Export!E216</f>
        <v>71046</v>
      </c>
      <c r="F219" s="7" t="str">
        <f aca="false">INDEX(Billing_Export!$B$2:$B$221,MATCH(A219,Billing_Export!$A$2:$A$221,0))</f>
        <v>Medicaid</v>
      </c>
      <c r="G219" s="14" t="n">
        <f aca="false">INDEX(Billing_Export!$C$2:$C$221,MATCH(A219,Billing_Export!$A$2:$A$221,0))</f>
        <v>47.18</v>
      </c>
      <c r="H219" s="14" t="n">
        <f aca="false">INDEX(Billing_Export!$D$2:$D$221,MATCH(A219,Billing_Export!$A$2:$A$221,0))</f>
        <v>26.01</v>
      </c>
      <c r="I219" s="7" t="str">
        <f aca="false">INDEX(Billing_Export!$E$2:$E$221,MATCH(A219,Billing_Export!$A$2:$A$221,0))</f>
        <v>Paid</v>
      </c>
      <c r="J219" s="7" t="str">
        <f aca="false">INDEX(Billing_Export!$F$2:$F$221,MATCH(A219,Billing_Export!$A$2:$A$221,0))</f>
        <v>None</v>
      </c>
    </row>
    <row r="220" customFormat="false" ht="15" hidden="false" customHeight="false" outlineLevel="0" collapsed="false">
      <c r="A220" s="12" t="n">
        <f aca="false">EHR_Export!A217</f>
        <v>100216</v>
      </c>
      <c r="B220" s="12" t="str">
        <f aca="false">EHR_Export!B217</f>
        <v>Dr. B. Chen</v>
      </c>
      <c r="C220" s="12" t="str">
        <f aca="false">EHR_Export!C217</f>
        <v>Nephrology</v>
      </c>
      <c r="D220" s="12" t="str">
        <f aca="false">EHR_Export!D217</f>
        <v>2025-01-16</v>
      </c>
      <c r="E220" s="12" t="str">
        <f aca="false">EHR_Export!E217</f>
        <v>71046</v>
      </c>
      <c r="F220" s="7" t="str">
        <f aca="false">INDEX(Billing_Export!$B$2:$B$221,MATCH(A220,Billing_Export!$A$2:$A$221,0))</f>
        <v>Medicare</v>
      </c>
      <c r="G220" s="14" t="n">
        <f aca="false">INDEX(Billing_Export!$C$2:$C$221,MATCH(A220,Billing_Export!$A$2:$A$221,0))</f>
        <v>60.92</v>
      </c>
      <c r="H220" s="14" t="n">
        <f aca="false">INDEX(Billing_Export!$D$2:$D$221,MATCH(A220,Billing_Export!$A$2:$A$221,0))</f>
        <v>48.34</v>
      </c>
      <c r="I220" s="7" t="str">
        <f aca="false">INDEX(Billing_Export!$E$2:$E$221,MATCH(A220,Billing_Export!$A$2:$A$221,0))</f>
        <v>Paid</v>
      </c>
      <c r="J220" s="7" t="str">
        <f aca="false">INDEX(Billing_Export!$F$2:$F$221,MATCH(A220,Billing_Export!$A$2:$A$221,0))</f>
        <v>None</v>
      </c>
    </row>
    <row r="221" customFormat="false" ht="15" hidden="false" customHeight="false" outlineLevel="0" collapsed="false">
      <c r="A221" s="12" t="n">
        <f aca="false">EHR_Export!A218</f>
        <v>100217</v>
      </c>
      <c r="B221" s="12" t="str">
        <f aca="false">EHR_Export!B218</f>
        <v>Dr. H. Thompson</v>
      </c>
      <c r="C221" s="12" t="str">
        <f aca="false">EHR_Export!C218</f>
        <v>Family Medicine</v>
      </c>
      <c r="D221" s="12" t="str">
        <f aca="false">EHR_Export!D218</f>
        <v>2025-07-27</v>
      </c>
      <c r="E221" s="12" t="str">
        <f aca="false">EHR_Export!E218</f>
        <v>99204</v>
      </c>
      <c r="F221" s="7" t="str">
        <f aca="false">INDEX(Billing_Export!$B$2:$B$221,MATCH(A221,Billing_Export!$A$2:$A$221,0))</f>
        <v>Commercial - Aetna</v>
      </c>
      <c r="G221" s="14" t="n">
        <f aca="false">INDEX(Billing_Export!$C$2:$C$221,MATCH(A221,Billing_Export!$A$2:$A$221,0))</f>
        <v>330.94</v>
      </c>
      <c r="H221" s="14" t="n">
        <f aca="false">INDEX(Billing_Export!$D$2:$D$221,MATCH(A221,Billing_Export!$A$2:$A$221,0))</f>
        <v>234.24</v>
      </c>
      <c r="I221" s="7" t="str">
        <f aca="false">INDEX(Billing_Export!$E$2:$E$221,MATCH(A221,Billing_Export!$A$2:$A$221,0))</f>
        <v>Paid</v>
      </c>
      <c r="J221" s="7" t="str">
        <f aca="false">INDEX(Billing_Export!$F$2:$F$221,MATCH(A221,Billing_Export!$A$2:$A$221,0))</f>
        <v>None</v>
      </c>
    </row>
    <row r="222" customFormat="false" ht="15" hidden="false" customHeight="false" outlineLevel="0" collapsed="false">
      <c r="A222" s="12" t="n">
        <f aca="false">EHR_Export!A219</f>
        <v>100218</v>
      </c>
      <c r="B222" s="12" t="str">
        <f aca="false">EHR_Export!B219</f>
        <v>Dr. E. Patel</v>
      </c>
      <c r="C222" s="12" t="str">
        <f aca="false">EHR_Export!C219</f>
        <v>Internal Medicine</v>
      </c>
      <c r="D222" s="12" t="str">
        <f aca="false">EHR_Export!D219</f>
        <v>2025-06-24</v>
      </c>
      <c r="E222" s="12" t="str">
        <f aca="false">EHR_Export!E219</f>
        <v>99214</v>
      </c>
      <c r="F222" s="7" t="str">
        <f aca="false">INDEX(Billing_Export!$B$2:$B$221,MATCH(A222,Billing_Export!$A$2:$A$221,0))</f>
        <v>Commercial - Blue Shield</v>
      </c>
      <c r="G222" s="14" t="n">
        <f aca="false">INDEX(Billing_Export!$C$2:$C$221,MATCH(A222,Billing_Export!$A$2:$A$221,0))</f>
        <v>240.88</v>
      </c>
      <c r="H222" s="14" t="n">
        <f aca="false">INDEX(Billing_Export!$D$2:$D$221,MATCH(A222,Billing_Export!$A$2:$A$221,0))</f>
        <v>164.65</v>
      </c>
      <c r="I222" s="7" t="str">
        <f aca="false">INDEX(Billing_Export!$E$2:$E$221,MATCH(A222,Billing_Export!$A$2:$A$221,0))</f>
        <v>Paid</v>
      </c>
      <c r="J222" s="7" t="str">
        <f aca="false">INDEX(Billing_Export!$F$2:$F$221,MATCH(A222,Billing_Export!$A$2:$A$221,0))</f>
        <v>None</v>
      </c>
    </row>
    <row r="223" customFormat="false" ht="15" hidden="false" customHeight="false" outlineLevel="0" collapsed="false">
      <c r="A223" s="12" t="n">
        <f aca="false">EHR_Export!A220</f>
        <v>100219</v>
      </c>
      <c r="B223" s="12" t="str">
        <f aca="false">EHR_Export!B220</f>
        <v>Dr. C. Okafor</v>
      </c>
      <c r="C223" s="12" t="str">
        <f aca="false">EHR_Export!C220</f>
        <v>Cardiology</v>
      </c>
      <c r="D223" s="12" t="str">
        <f aca="false">EHR_Export!D220</f>
        <v>2025-07-09</v>
      </c>
      <c r="E223" s="12" t="str">
        <f aca="false">EHR_Export!E220</f>
        <v>90935</v>
      </c>
      <c r="F223" s="7" t="str">
        <f aca="false">INDEX(Billing_Export!$B$2:$B$221,MATCH(A223,Billing_Export!$A$2:$A$221,0))</f>
        <v>Kaiser HMO</v>
      </c>
      <c r="G223" s="14" t="n">
        <f aca="false">INDEX(Billing_Export!$C$2:$C$221,MATCH(A223,Billing_Export!$A$2:$A$221,0))</f>
        <v>229.46</v>
      </c>
      <c r="H223" s="14" t="n">
        <f aca="false">INDEX(Billing_Export!$D$2:$D$221,MATCH(A223,Billing_Export!$A$2:$A$221,0))</f>
        <v>165.79</v>
      </c>
      <c r="I223" s="7" t="str">
        <f aca="false">INDEX(Billing_Export!$E$2:$E$221,MATCH(A223,Billing_Export!$A$2:$A$221,0))</f>
        <v>Paid</v>
      </c>
      <c r="J223" s="7" t="str">
        <f aca="false">INDEX(Billing_Export!$F$2:$F$221,MATCH(A223,Billing_Export!$A$2:$A$221,0))</f>
        <v>None</v>
      </c>
    </row>
    <row r="224" customFormat="false" ht="15" hidden="false" customHeight="false" outlineLevel="0" collapsed="false">
      <c r="A224" s="12" t="n">
        <f aca="false">EHR_Export!A221</f>
        <v>100220</v>
      </c>
      <c r="B224" s="12" t="str">
        <f aca="false">EHR_Export!B221</f>
        <v>Dr. B. Chen</v>
      </c>
      <c r="C224" s="12" t="str">
        <f aca="false">EHR_Export!C221</f>
        <v>Nephrology</v>
      </c>
      <c r="D224" s="12" t="str">
        <f aca="false">EHR_Export!D221</f>
        <v>2025-05-29</v>
      </c>
      <c r="E224" s="12" t="str">
        <f aca="false">EHR_Export!E221</f>
        <v>99203</v>
      </c>
      <c r="F224" s="7" t="str">
        <f aca="false">INDEX(Billing_Export!$B$2:$B$221,MATCH(A224,Billing_Export!$A$2:$A$221,0))</f>
        <v>Kaiser HMO</v>
      </c>
      <c r="G224" s="14" t="n">
        <f aca="false">INDEX(Billing_Export!$C$2:$C$221,MATCH(A224,Billing_Export!$A$2:$A$221,0))</f>
        <v>163.19</v>
      </c>
      <c r="H224" s="14" t="n">
        <f aca="false">INDEX(Billing_Export!$D$2:$D$221,MATCH(A224,Billing_Export!$A$2:$A$221,0))</f>
        <v>117.1</v>
      </c>
      <c r="I224" s="7" t="str">
        <f aca="false">INDEX(Billing_Export!$E$2:$E$221,MATCH(A224,Billing_Export!$A$2:$A$221,0))</f>
        <v>Paid</v>
      </c>
      <c r="J224" s="7" t="str">
        <f aca="false">INDEX(Billing_Export!$F$2:$F$221,MATCH(A224,Billing_Export!$A$2:$A$221,0))</f>
        <v>None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7" min="6" style="0" width="22"/>
    <col collapsed="false" customWidth="true" hidden="false" outlineLevel="0" max="8" min="8" style="0" width="16"/>
  </cols>
  <sheetData>
    <row r="2" customFormat="false" ht="17.35" hidden="false" customHeight="false" outlineLevel="0" collapsed="false">
      <c r="B2" s="1" t="s">
        <v>268</v>
      </c>
    </row>
    <row r="4" customFormat="false" ht="15" hidden="false" customHeight="false" outlineLevel="0" collapsed="false">
      <c r="B4" s="22" t="s">
        <v>269</v>
      </c>
    </row>
    <row r="5" customFormat="false" ht="15" hidden="false" customHeight="false" outlineLevel="0" collapsed="false">
      <c r="B5" s="3" t="s">
        <v>270</v>
      </c>
      <c r="D5" s="23" t="n">
        <v>9000</v>
      </c>
    </row>
    <row r="6" customFormat="false" ht="15" hidden="false" customHeight="false" outlineLevel="0" collapsed="false">
      <c r="B6" s="3" t="s">
        <v>271</v>
      </c>
      <c r="D6" s="24" t="n">
        <v>35</v>
      </c>
    </row>
    <row r="7" customFormat="false" ht="15" hidden="false" customHeight="false" outlineLevel="0" collapsed="false">
      <c r="B7" s="3" t="s">
        <v>272</v>
      </c>
      <c r="D7" s="23" t="n">
        <v>42</v>
      </c>
    </row>
    <row r="8" customFormat="false" ht="15" hidden="false" customHeight="false" outlineLevel="0" collapsed="false">
      <c r="B8" s="3" t="s">
        <v>273</v>
      </c>
      <c r="D8" s="24" t="n">
        <v>1</v>
      </c>
    </row>
    <row r="10" customFormat="false" ht="15" hidden="false" customHeight="false" outlineLevel="0" collapsed="false">
      <c r="B10" s="22" t="s">
        <v>274</v>
      </c>
    </row>
    <row r="11" customFormat="false" ht="27.75" hidden="false" customHeight="true" outlineLevel="0" collapsed="false">
      <c r="B11" s="15" t="s">
        <v>275</v>
      </c>
      <c r="C11" s="15"/>
      <c r="D11" s="15"/>
      <c r="E11" s="15"/>
      <c r="F11" s="15"/>
      <c r="G11" s="15"/>
      <c r="H11" s="15"/>
    </row>
    <row r="12" customFormat="false" ht="23.85" hidden="false" customHeight="false" outlineLevel="0" collapsed="false">
      <c r="B12" s="6" t="s">
        <v>276</v>
      </c>
      <c r="C12" s="6" t="s">
        <v>277</v>
      </c>
      <c r="D12" s="6" t="s">
        <v>278</v>
      </c>
      <c r="E12" s="6" t="s">
        <v>279</v>
      </c>
      <c r="F12" s="6" t="s">
        <v>280</v>
      </c>
      <c r="G12" s="6" t="s">
        <v>281</v>
      </c>
      <c r="H12" s="6" t="s">
        <v>282</v>
      </c>
    </row>
    <row r="13" customFormat="false" ht="15" hidden="false" customHeight="false" outlineLevel="0" collapsed="false">
      <c r="B13" s="7" t="s">
        <v>283</v>
      </c>
      <c r="C13" s="25" t="n">
        <f aca="false">SUMPRODUCT((MONTH(Claims_Data!$F$2:$F$221)=1)*(YEAR(Claims_Data!$F$2:$F$221)=2025)*Claims_Data!$I$2:$I$221)</f>
        <v>39.62</v>
      </c>
      <c r="D13" s="25" t="n">
        <f aca="false">$D$6*$D$8</f>
        <v>35</v>
      </c>
      <c r="E13" s="25" t="n">
        <f aca="false">C13-D13</f>
        <v>4.62</v>
      </c>
      <c r="F13" s="14" t="n">
        <f aca="false">$D$5*$D$8+MAX(0,E13)*$D$7</f>
        <v>9194.04</v>
      </c>
      <c r="G13" s="14" t="n">
        <f aca="false">$D$5*$D$8</f>
        <v>9000</v>
      </c>
      <c r="H13" s="14" t="n">
        <f aca="false">F13-G13</f>
        <v>194.039999999999</v>
      </c>
    </row>
    <row r="14" customFormat="false" ht="15" hidden="false" customHeight="false" outlineLevel="0" collapsed="false">
      <c r="B14" s="7" t="s">
        <v>284</v>
      </c>
      <c r="C14" s="25" t="n">
        <f aca="false">SUMPRODUCT((MONTH(Claims_Data!$F$2:$F$221)=2)*(YEAR(Claims_Data!$F$2:$F$221)=2025)*Claims_Data!$I$2:$I$221)</f>
        <v>48.32</v>
      </c>
      <c r="D14" s="25" t="n">
        <f aca="false">$D$6*$D$8</f>
        <v>35</v>
      </c>
      <c r="E14" s="25" t="n">
        <f aca="false">C14-D14</f>
        <v>13.32</v>
      </c>
      <c r="F14" s="14" t="n">
        <f aca="false">$D$5*$D$8+MAX(0,E14)*$D$7</f>
        <v>9559.44</v>
      </c>
      <c r="G14" s="14" t="n">
        <f aca="false">$D$5*$D$8</f>
        <v>9000</v>
      </c>
      <c r="H14" s="14" t="n">
        <f aca="false">F14-G14</f>
        <v>559.440000000001</v>
      </c>
    </row>
    <row r="15" customFormat="false" ht="15" hidden="false" customHeight="false" outlineLevel="0" collapsed="false">
      <c r="B15" s="7" t="s">
        <v>285</v>
      </c>
      <c r="C15" s="25" t="n">
        <f aca="false">SUMPRODUCT((MONTH(Claims_Data!$F$2:$F$221)=3)*(YEAR(Claims_Data!$F$2:$F$221)=2025)*Claims_Data!$I$2:$I$221)</f>
        <v>36.9</v>
      </c>
      <c r="D15" s="25" t="n">
        <f aca="false">$D$6*$D$8</f>
        <v>35</v>
      </c>
      <c r="E15" s="25" t="n">
        <f aca="false">C15-D15</f>
        <v>1.9</v>
      </c>
      <c r="F15" s="14" t="n">
        <f aca="false">$D$5*$D$8+MAX(0,E15)*$D$7</f>
        <v>9079.8</v>
      </c>
      <c r="G15" s="14" t="n">
        <f aca="false">$D$5*$D$8</f>
        <v>9000</v>
      </c>
      <c r="H15" s="14" t="n">
        <f aca="false">F15-G15</f>
        <v>79.7999999999993</v>
      </c>
    </row>
    <row r="16" customFormat="false" ht="15" hidden="false" customHeight="false" outlineLevel="0" collapsed="false">
      <c r="B16" s="7" t="s">
        <v>286</v>
      </c>
      <c r="C16" s="25" t="n">
        <f aca="false">SUMPRODUCT((MONTH(Claims_Data!$F$2:$F$221)=4)*(YEAR(Claims_Data!$F$2:$F$221)=2025)*Claims_Data!$I$2:$I$221)</f>
        <v>36.02</v>
      </c>
      <c r="D16" s="25" t="n">
        <f aca="false">$D$6*$D$8</f>
        <v>35</v>
      </c>
      <c r="E16" s="25" t="n">
        <f aca="false">C16-D16</f>
        <v>1.02</v>
      </c>
      <c r="F16" s="14" t="n">
        <f aca="false">$D$5*$D$8+MAX(0,E16)*$D$7</f>
        <v>9042.84</v>
      </c>
      <c r="G16" s="14" t="n">
        <f aca="false">$D$5*$D$8</f>
        <v>9000</v>
      </c>
      <c r="H16" s="14" t="n">
        <f aca="false">F16-G16</f>
        <v>42.8400000000001</v>
      </c>
    </row>
    <row r="17" customFormat="false" ht="15" hidden="false" customHeight="false" outlineLevel="0" collapsed="false">
      <c r="B17" s="7" t="s">
        <v>287</v>
      </c>
      <c r="C17" s="25" t="n">
        <f aca="false">SUMPRODUCT((MONTH(Claims_Data!$F$2:$F$221)=5)*(YEAR(Claims_Data!$F$2:$F$221)=2025)*Claims_Data!$I$2:$I$221)</f>
        <v>29</v>
      </c>
      <c r="D17" s="25" t="n">
        <f aca="false">$D$6*$D$8</f>
        <v>35</v>
      </c>
      <c r="E17" s="25" t="n">
        <f aca="false">C17-D17</f>
        <v>-6</v>
      </c>
      <c r="F17" s="14" t="n">
        <f aca="false">$D$5*$D$8+MAX(0,E17)*$D$7</f>
        <v>9000</v>
      </c>
      <c r="G17" s="14" t="n">
        <f aca="false">$D$5*$D$8</f>
        <v>9000</v>
      </c>
      <c r="H17" s="14" t="n">
        <f aca="false">F17-G17</f>
        <v>0</v>
      </c>
    </row>
    <row r="18" customFormat="false" ht="15" hidden="false" customHeight="false" outlineLevel="0" collapsed="false">
      <c r="B18" s="7" t="s">
        <v>288</v>
      </c>
      <c r="C18" s="25" t="n">
        <f aca="false">SUMPRODUCT((MONTH(Claims_Data!$F$2:$F$221)=6)*(YEAR(Claims_Data!$F$2:$F$221)=2025)*Claims_Data!$I$2:$I$221)</f>
        <v>35.46</v>
      </c>
      <c r="D18" s="25" t="n">
        <f aca="false">$D$6*$D$8</f>
        <v>35</v>
      </c>
      <c r="E18" s="25" t="n">
        <f aca="false">C18-D18</f>
        <v>0.460000000000001</v>
      </c>
      <c r="F18" s="14" t="n">
        <f aca="false">$D$5*$D$8+MAX(0,E18)*$D$7</f>
        <v>9019.32</v>
      </c>
      <c r="G18" s="14" t="n">
        <f aca="false">$D$5*$D$8</f>
        <v>9000</v>
      </c>
      <c r="H18" s="14" t="n">
        <f aca="false">F18-G18</f>
        <v>19.3199999999997</v>
      </c>
    </row>
    <row r="19" customFormat="false" ht="15" hidden="false" customHeight="false" outlineLevel="0" collapsed="false">
      <c r="B19" s="7" t="s">
        <v>289</v>
      </c>
      <c r="C19" s="25" t="n">
        <f aca="false">SUMPRODUCT((MONTH(Claims_Data!$F$2:$F$221)=7)*(YEAR(Claims_Data!$F$2:$F$221)=2025)*Claims_Data!$I$2:$I$221)</f>
        <v>34.92</v>
      </c>
      <c r="D19" s="25" t="n">
        <f aca="false">$D$6*$D$8</f>
        <v>35</v>
      </c>
      <c r="E19" s="25" t="n">
        <f aca="false">C19-D19</f>
        <v>-0.0799999999999983</v>
      </c>
      <c r="F19" s="14" t="n">
        <f aca="false">$D$5*$D$8+MAX(0,E19)*$D$7</f>
        <v>9000</v>
      </c>
      <c r="G19" s="14" t="n">
        <f aca="false">$D$5*$D$8</f>
        <v>9000</v>
      </c>
      <c r="H19" s="14" t="n">
        <f aca="false">F19-G19</f>
        <v>0</v>
      </c>
    </row>
    <row r="20" customFormat="false" ht="15" hidden="false" customHeight="false" outlineLevel="0" collapsed="false">
      <c r="B20" s="7" t="s">
        <v>290</v>
      </c>
      <c r="C20" s="25" t="n">
        <f aca="false">SUMPRODUCT((MONTH(Claims_Data!$F$2:$F$221)=8)*(YEAR(Claims_Data!$F$2:$F$221)=2025)*Claims_Data!$I$2:$I$221)</f>
        <v>34.94</v>
      </c>
      <c r="D20" s="25" t="n">
        <f aca="false">$D$6*$D$8</f>
        <v>35</v>
      </c>
      <c r="E20" s="25" t="n">
        <f aca="false">C20-D20</f>
        <v>-0.0600000000000023</v>
      </c>
      <c r="F20" s="14" t="n">
        <f aca="false">$D$5*$D$8+MAX(0,E20)*$D$7</f>
        <v>9000</v>
      </c>
      <c r="G20" s="14" t="n">
        <f aca="false">$D$5*$D$8</f>
        <v>9000</v>
      </c>
      <c r="H20" s="14" t="n">
        <f aca="false">F20-G20</f>
        <v>0</v>
      </c>
    </row>
    <row r="21" customFormat="false" ht="15" hidden="false" customHeight="false" outlineLevel="0" collapsed="false">
      <c r="B21" s="7" t="s">
        <v>291</v>
      </c>
      <c r="C21" s="25" t="n">
        <f aca="false">SUMPRODUCT((MONTH(Claims_Data!$F$2:$F$221)=9)*(YEAR(Claims_Data!$F$2:$F$221)=2025)*Claims_Data!$I$2:$I$221)</f>
        <v>33.42</v>
      </c>
      <c r="D21" s="25" t="n">
        <f aca="false">$D$6*$D$8</f>
        <v>35</v>
      </c>
      <c r="E21" s="25" t="n">
        <f aca="false">C21-D21</f>
        <v>-1.58</v>
      </c>
      <c r="F21" s="14" t="n">
        <f aca="false">$D$5*$D$8+MAX(0,E21)*$D$7</f>
        <v>9000</v>
      </c>
      <c r="G21" s="14" t="n">
        <f aca="false">$D$5*$D$8</f>
        <v>9000</v>
      </c>
      <c r="H21" s="14" t="n">
        <f aca="false">F21-G21</f>
        <v>0</v>
      </c>
    </row>
    <row r="22" customFormat="false" ht="15" hidden="false" customHeight="false" outlineLevel="0" collapsed="false">
      <c r="B22" s="22" t="s">
        <v>262</v>
      </c>
      <c r="C22" s="26" t="n">
        <f aca="false">SUM(C13:C21)</f>
        <v>328.6</v>
      </c>
      <c r="D22" s="26" t="n">
        <f aca="false">SUM(D13:D21)</f>
        <v>315</v>
      </c>
      <c r="E22" s="26" t="n">
        <f aca="false">SUM(E13:E21)</f>
        <v>13.6</v>
      </c>
      <c r="F22" s="21" t="n">
        <f aca="false">SUM(F13:F21)</f>
        <v>81895.44</v>
      </c>
      <c r="G22" s="21" t="n">
        <f aca="false">SUM(G13:G21)</f>
        <v>81000</v>
      </c>
      <c r="H22" s="21" t="n">
        <f aca="false">SUM(H13:H21)</f>
        <v>895.439999999999</v>
      </c>
    </row>
    <row r="25" customFormat="false" ht="30" hidden="false" customHeight="true" outlineLevel="0" collapsed="false">
      <c r="B25" s="15" t="s">
        <v>292</v>
      </c>
      <c r="C25" s="15"/>
      <c r="D25" s="15"/>
      <c r="E25" s="15"/>
      <c r="F25" s="15"/>
      <c r="G25" s="15"/>
      <c r="H25" s="15"/>
    </row>
  </sheetData>
  <mergeCells count="2">
    <mergeCell ref="B11:H11"/>
    <mergeCell ref="B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</cols>
  <sheetData>
    <row r="2" customFormat="false" ht="17.35" hidden="false" customHeight="false" outlineLevel="0" collapsed="false">
      <c r="B2" s="1" t="s">
        <v>293</v>
      </c>
    </row>
    <row r="4" customFormat="false" ht="15" hidden="false" customHeight="false" outlineLevel="0" collapsed="false">
      <c r="B4" s="22" t="s">
        <v>294</v>
      </c>
    </row>
    <row r="6" customFormat="false" ht="15" hidden="false" customHeight="false" outlineLevel="0" collapsed="false">
      <c r="B6" s="6" t="s">
        <v>73</v>
      </c>
      <c r="C6" s="6" t="s">
        <v>295</v>
      </c>
      <c r="D6" s="6" t="s">
        <v>296</v>
      </c>
    </row>
    <row r="7" customFormat="false" ht="15" hidden="false" customHeight="false" outlineLevel="0" collapsed="false">
      <c r="B7" s="7" t="s">
        <v>297</v>
      </c>
      <c r="C7" s="7" t="n">
        <f aca="false">COUNTIFS(Claims_Data!$K$2:$K$221,B7,Claims_Data!$J$2:$J$221,"Denied")</f>
        <v>0</v>
      </c>
      <c r="D7" s="14" t="n">
        <f aca="false">SUMIFS(Claims_Data!$G$2:$G$221,Claims_Data!$K$2:$K$221,B7,Claims_Data!$J$2:$J$221,"Denied")</f>
        <v>0</v>
      </c>
    </row>
    <row r="8" customFormat="false" ht="15" hidden="false" customHeight="false" outlineLevel="0" collapsed="false">
      <c r="B8" s="7" t="s">
        <v>117</v>
      </c>
      <c r="C8" s="7" t="n">
        <f aca="false">COUNTIFS(Claims_Data!$K$2:$K$221,B8,Claims_Data!$J$2:$J$221,"Denied")</f>
        <v>1</v>
      </c>
      <c r="D8" s="14" t="n">
        <f aca="false">SUMIFS(Claims_Data!$G$2:$G$221,Claims_Data!$K$2:$K$221,B8,Claims_Data!$J$2:$J$221,"Denied")</f>
        <v>187.15</v>
      </c>
    </row>
    <row r="9" customFormat="false" ht="15" hidden="false" customHeight="false" outlineLevel="0" collapsed="false">
      <c r="B9" s="7" t="s">
        <v>138</v>
      </c>
      <c r="C9" s="7" t="n">
        <f aca="false">COUNTIFS(Claims_Data!$K$2:$K$221,B9,Claims_Data!$J$2:$J$221,"Denied")</f>
        <v>3</v>
      </c>
      <c r="D9" s="14" t="n">
        <f aca="false">SUMIFS(Claims_Data!$G$2:$G$221,Claims_Data!$K$2:$K$221,B9,Claims_Data!$J$2:$J$221,"Denied")</f>
        <v>634.87</v>
      </c>
    </row>
    <row r="10" customFormat="false" ht="15" hidden="false" customHeight="false" outlineLevel="0" collapsed="false">
      <c r="B10" s="7" t="s">
        <v>155</v>
      </c>
      <c r="C10" s="7" t="n">
        <f aca="false">COUNTIFS(Claims_Data!$K$2:$K$221,B10,Claims_Data!$J$2:$J$221,"Denied")</f>
        <v>4</v>
      </c>
      <c r="D10" s="14" t="n">
        <f aca="false">SUMIFS(Claims_Data!$G$2:$G$221,Claims_Data!$K$2:$K$221,B10,Claims_Data!$J$2:$J$221,"Denied")</f>
        <v>270.78</v>
      </c>
    </row>
    <row r="11" customFormat="false" ht="15" hidden="false" customHeight="false" outlineLevel="0" collapsed="false">
      <c r="B11" s="7" t="s">
        <v>120</v>
      </c>
      <c r="C11" s="7" t="n">
        <f aca="false">COUNTIFS(Claims_Data!$K$2:$K$221,B11,Claims_Data!$J$2:$J$221,"Denied")</f>
        <v>4</v>
      </c>
      <c r="D11" s="14" t="n">
        <f aca="false">SUMIFS(Claims_Data!$G$2:$G$221,Claims_Data!$K$2:$K$221,B11,Claims_Data!$J$2:$J$221,"Denied")</f>
        <v>763.56</v>
      </c>
    </row>
    <row r="33" customFormat="false" ht="15" hidden="false" customHeight="false" outlineLevel="0" collapsed="false">
      <c r="B33" s="22" t="s">
        <v>298</v>
      </c>
    </row>
    <row r="34" customFormat="false" ht="15" hidden="false" customHeight="true" outlineLevel="0" collapsed="false">
      <c r="B34" s="27" t="s">
        <v>299</v>
      </c>
      <c r="C34" s="27"/>
      <c r="D34" s="27"/>
      <c r="E34" s="27"/>
      <c r="F34" s="27"/>
      <c r="G34" s="27"/>
      <c r="H34" s="27"/>
    </row>
    <row r="35" customFormat="false" ht="15" hidden="false" customHeight="false" outlineLevel="0" collapsed="false">
      <c r="B35" s="27"/>
      <c r="C35" s="27"/>
      <c r="D35" s="27"/>
      <c r="E35" s="27"/>
      <c r="F35" s="27"/>
      <c r="G35" s="27"/>
      <c r="H35" s="27"/>
    </row>
    <row r="36" customFormat="false" ht="15" hidden="false" customHeight="false" outlineLevel="0" collapsed="false">
      <c r="B36" s="27"/>
      <c r="C36" s="27"/>
      <c r="D36" s="27"/>
      <c r="E36" s="27"/>
      <c r="F36" s="27"/>
      <c r="G36" s="27"/>
      <c r="H36" s="27"/>
    </row>
    <row r="37" customFormat="false" ht="15" hidden="false" customHeight="false" outlineLevel="0" collapsed="false">
      <c r="B37" s="27"/>
      <c r="C37" s="27"/>
      <c r="D37" s="27"/>
      <c r="E37" s="27"/>
      <c r="F37" s="27"/>
      <c r="G37" s="27"/>
      <c r="H37" s="27"/>
    </row>
    <row r="38" customFormat="false" ht="15" hidden="false" customHeight="false" outlineLevel="0" collapsed="false">
      <c r="B38" s="27"/>
      <c r="C38" s="27"/>
      <c r="D38" s="27"/>
      <c r="E38" s="27"/>
      <c r="F38" s="27"/>
      <c r="G38" s="27"/>
      <c r="H38" s="27"/>
    </row>
    <row r="39" customFormat="false" ht="15" hidden="false" customHeight="false" outlineLevel="0" collapsed="false">
      <c r="B39" s="27"/>
      <c r="C39" s="27"/>
      <c r="D39" s="27"/>
      <c r="E39" s="27"/>
      <c r="F39" s="27"/>
      <c r="G39" s="27"/>
      <c r="H39" s="27"/>
    </row>
  </sheetData>
  <mergeCells count="1">
    <mergeCell ref="B34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4"/>
  </cols>
  <sheetData>
    <row r="2" customFormat="false" ht="17.35" hidden="false" customHeight="false" outlineLevel="0" collapsed="false">
      <c r="B2" s="1" t="s">
        <v>300</v>
      </c>
    </row>
    <row r="4" customFormat="false" ht="15" hidden="false" customHeight="false" outlineLevel="0" collapsed="false">
      <c r="B4" s="5" t="s">
        <v>301</v>
      </c>
    </row>
    <row r="5" customFormat="false" ht="15" hidden="false" customHeight="true" outlineLevel="0" collapsed="false">
      <c r="B5" s="27" t="s">
        <v>302</v>
      </c>
      <c r="C5" s="27"/>
      <c r="D5" s="27"/>
      <c r="E5" s="27"/>
      <c r="F5" s="27"/>
      <c r="G5" s="27"/>
      <c r="H5" s="27"/>
    </row>
    <row r="6" customFormat="false" ht="15" hidden="false" customHeight="false" outlineLevel="0" collapsed="false">
      <c r="B6" s="27"/>
      <c r="C6" s="27"/>
      <c r="D6" s="27"/>
      <c r="E6" s="27"/>
      <c r="F6" s="27"/>
      <c r="G6" s="27"/>
      <c r="H6" s="27"/>
    </row>
    <row r="8" customFormat="false" ht="15" hidden="false" customHeight="false" outlineLevel="0" collapsed="false">
      <c r="B8" s="5" t="s">
        <v>303</v>
      </c>
    </row>
    <row r="9" customFormat="false" ht="15" hidden="false" customHeight="true" outlineLevel="0" collapsed="false">
      <c r="B9" s="27" t="s">
        <v>304</v>
      </c>
      <c r="C9" s="27"/>
      <c r="D9" s="27"/>
      <c r="E9" s="27"/>
      <c r="F9" s="27"/>
      <c r="G9" s="27"/>
      <c r="H9" s="27"/>
    </row>
    <row r="10" customFormat="false" ht="15" hidden="false" customHeight="false" outlineLevel="0" collapsed="false">
      <c r="B10" s="27"/>
      <c r="C10" s="27"/>
      <c r="D10" s="27"/>
      <c r="E10" s="27"/>
      <c r="F10" s="27"/>
      <c r="G10" s="27"/>
      <c r="H10" s="27"/>
    </row>
    <row r="12" customFormat="false" ht="15" hidden="false" customHeight="false" outlineLevel="0" collapsed="false">
      <c r="B12" s="5" t="s">
        <v>305</v>
      </c>
    </row>
    <row r="13" customFormat="false" ht="15" hidden="false" customHeight="true" outlineLevel="0" collapsed="false">
      <c r="B13" s="27" t="s">
        <v>306</v>
      </c>
      <c r="C13" s="27"/>
      <c r="D13" s="27"/>
      <c r="E13" s="27"/>
      <c r="F13" s="27"/>
      <c r="G13" s="27"/>
      <c r="H13" s="27"/>
    </row>
    <row r="14" customFormat="false" ht="15" hidden="false" customHeight="false" outlineLevel="0" collapsed="false">
      <c r="B14" s="27"/>
      <c r="C14" s="27"/>
      <c r="D14" s="27"/>
      <c r="E14" s="27"/>
      <c r="F14" s="27"/>
      <c r="G14" s="27"/>
      <c r="H14" s="27"/>
    </row>
    <row r="16" customFormat="false" ht="15" hidden="false" customHeight="false" outlineLevel="0" collapsed="false">
      <c r="B16" s="5" t="s">
        <v>307</v>
      </c>
    </row>
    <row r="17" customFormat="false" ht="15" hidden="false" customHeight="true" outlineLevel="0" collapsed="false">
      <c r="B17" s="27" t="s">
        <v>308</v>
      </c>
      <c r="C17" s="27"/>
      <c r="D17" s="27"/>
      <c r="E17" s="27"/>
      <c r="F17" s="27"/>
      <c r="G17" s="27"/>
      <c r="H17" s="27"/>
    </row>
    <row r="18" customFormat="false" ht="15" hidden="false" customHeight="false" outlineLevel="0" collapsed="false">
      <c r="B18" s="27"/>
      <c r="C18" s="27"/>
      <c r="D18" s="27"/>
      <c r="E18" s="27"/>
      <c r="F18" s="27"/>
      <c r="G18" s="27"/>
      <c r="H18" s="27"/>
    </row>
    <row r="20" customFormat="false" ht="15" hidden="false" customHeight="false" outlineLevel="0" collapsed="false">
      <c r="B20" s="5" t="s">
        <v>309</v>
      </c>
    </row>
    <row r="21" customFormat="false" ht="15" hidden="false" customHeight="true" outlineLevel="0" collapsed="false">
      <c r="B21" s="27" t="s">
        <v>310</v>
      </c>
      <c r="C21" s="27"/>
      <c r="D21" s="27"/>
      <c r="E21" s="27"/>
      <c r="F21" s="27"/>
      <c r="G21" s="27"/>
      <c r="H21" s="27"/>
    </row>
    <row r="22" customFormat="false" ht="15" hidden="false" customHeight="false" outlineLevel="0" collapsed="false">
      <c r="B22" s="27"/>
      <c r="C22" s="27"/>
      <c r="D22" s="27"/>
      <c r="E22" s="27"/>
      <c r="F22" s="27"/>
      <c r="G22" s="27"/>
      <c r="H22" s="27"/>
    </row>
  </sheetData>
  <mergeCells count="5">
    <mergeCell ref="B5:H6"/>
    <mergeCell ref="B9:H10"/>
    <mergeCell ref="B13:H14"/>
    <mergeCell ref="B17:H18"/>
    <mergeCell ref="B21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4"/>
  </cols>
  <sheetData>
    <row r="2" customFormat="false" ht="17.35" hidden="false" customHeight="false" outlineLevel="0" collapsed="false">
      <c r="B2" s="1" t="s">
        <v>311</v>
      </c>
    </row>
    <row r="4" customFormat="false" ht="15" hidden="false" customHeight="false" outlineLevel="0" collapsed="false">
      <c r="B4" s="28" t="s">
        <v>312</v>
      </c>
    </row>
    <row r="5" customFormat="false" ht="15" hidden="false" customHeight="true" outlineLevel="0" collapsed="false">
      <c r="B5" s="27" t="s">
        <v>313</v>
      </c>
      <c r="C5" s="27"/>
      <c r="D5" s="27"/>
      <c r="E5" s="27"/>
      <c r="F5" s="27"/>
      <c r="G5" s="27"/>
      <c r="H5" s="27"/>
    </row>
    <row r="6" customFormat="false" ht="15" hidden="false" customHeight="false" outlineLevel="0" collapsed="false">
      <c r="B6" s="27"/>
      <c r="C6" s="27"/>
      <c r="D6" s="27"/>
      <c r="E6" s="27"/>
      <c r="F6" s="27"/>
      <c r="G6" s="27"/>
      <c r="H6" s="27"/>
    </row>
    <row r="8" customFormat="false" ht="15" hidden="false" customHeight="false" outlineLevel="0" collapsed="false">
      <c r="B8" s="28" t="s">
        <v>314</v>
      </c>
    </row>
    <row r="9" customFormat="false" ht="15" hidden="false" customHeight="true" outlineLevel="0" collapsed="false">
      <c r="B9" s="27" t="s">
        <v>315</v>
      </c>
      <c r="C9" s="27"/>
      <c r="D9" s="27"/>
      <c r="E9" s="27"/>
      <c r="F9" s="27"/>
      <c r="G9" s="27"/>
      <c r="H9" s="27"/>
    </row>
    <row r="10" customFormat="false" ht="15" hidden="false" customHeight="false" outlineLevel="0" collapsed="false">
      <c r="B10" s="27"/>
      <c r="C10" s="27"/>
      <c r="D10" s="27"/>
      <c r="E10" s="27"/>
      <c r="F10" s="27"/>
      <c r="G10" s="27"/>
      <c r="H10" s="27"/>
    </row>
    <row r="12" customFormat="false" ht="15" hidden="false" customHeight="false" outlineLevel="0" collapsed="false">
      <c r="B12" s="28" t="s">
        <v>316</v>
      </c>
    </row>
    <row r="13" customFormat="false" ht="15" hidden="false" customHeight="true" outlineLevel="0" collapsed="false">
      <c r="B13" s="27" t="s">
        <v>317</v>
      </c>
      <c r="C13" s="27"/>
      <c r="D13" s="27"/>
      <c r="E13" s="27"/>
      <c r="F13" s="27"/>
      <c r="G13" s="27"/>
      <c r="H13" s="27"/>
    </row>
    <row r="14" customFormat="false" ht="15" hidden="false" customHeight="false" outlineLevel="0" collapsed="false">
      <c r="B14" s="27"/>
      <c r="C14" s="27"/>
      <c r="D14" s="27"/>
      <c r="E14" s="27"/>
      <c r="F14" s="27"/>
      <c r="G14" s="27"/>
      <c r="H14" s="27"/>
    </row>
  </sheetData>
  <mergeCells count="3">
    <mergeCell ref="B5:H6"/>
    <mergeCell ref="B9:H10"/>
    <mergeCell ref="B13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2026-09-16T03:57:36Z</dcterms:created>
  <dc:creator>openpyxl</dc:creator>
  <dc:description/>
  <dc:language>en-US</dc:language>
  <cp:lastModifiedBy/>
  <dcterms:modified xsi:type="dcterms:W3CDTF">2026-09-16T03:57:38Z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